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C:\Users\sanku\Documents\Accucut - Quotation App\"/>
    </mc:Choice>
  </mc:AlternateContent>
  <xr:revisionPtr revIDLastSave="0" documentId="13_ncr:1_{2AEABB9D-5FCD-45D4-893A-EFE6F12C0004}" xr6:coauthVersionLast="47" xr6:coauthVersionMax="47" xr10:uidLastSave="{00000000-0000-0000-0000-000000000000}"/>
  <bookViews>
    <workbookView xWindow="-28920" yWindow="-2445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Sheet1!$A$1:$DF$20</definedName>
  </definedNames>
  <calcPr calcId="191029"/>
</workbook>
</file>

<file path=xl/calcChain.xml><?xml version="1.0" encoding="utf-8"?>
<calcChain xmlns="http://schemas.openxmlformats.org/spreadsheetml/2006/main">
  <c r="AQ4" i="1" l="1"/>
  <c r="AK4" i="1"/>
  <c r="AL4" i="1"/>
  <c r="M13" i="1"/>
  <c r="O13" i="1" s="1"/>
  <c r="AK13" i="1" s="1"/>
  <c r="AH13" i="1"/>
  <c r="AT13" i="1" s="1"/>
  <c r="AL13" i="1"/>
  <c r="AM13" i="1"/>
  <c r="AN13" i="1"/>
  <c r="AO13" i="1"/>
  <c r="AQ13" i="1"/>
  <c r="AS13" i="1"/>
  <c r="AZ13" i="1"/>
  <c r="AM2" i="1"/>
  <c r="AM3" i="1"/>
  <c r="AM4" i="1"/>
  <c r="AM5" i="1"/>
  <c r="AM6" i="1"/>
  <c r="AM7" i="1"/>
  <c r="AM8" i="1"/>
  <c r="AM9" i="1"/>
  <c r="AM10" i="1"/>
  <c r="AM11" i="1"/>
  <c r="AM15" i="1"/>
  <c r="AM16" i="1"/>
  <c r="AM17" i="1"/>
  <c r="AM18" i="1"/>
  <c r="AM19" i="1"/>
  <c r="AM20" i="1"/>
  <c r="AZ2" i="1"/>
  <c r="AZ3" i="1"/>
  <c r="AZ4" i="1"/>
  <c r="AZ5" i="1"/>
  <c r="AZ6" i="1"/>
  <c r="AZ7" i="1"/>
  <c r="AZ8" i="1"/>
  <c r="AZ9" i="1"/>
  <c r="AZ10" i="1"/>
  <c r="AZ11" i="1"/>
  <c r="AZ15" i="1"/>
  <c r="AZ16" i="1"/>
  <c r="AZ17" i="1"/>
  <c r="AZ18" i="1"/>
  <c r="AZ19" i="1"/>
  <c r="AZ20" i="1"/>
  <c r="AS2" i="1"/>
  <c r="AS3" i="1"/>
  <c r="AS4" i="1"/>
  <c r="AS5" i="1"/>
  <c r="AS6" i="1"/>
  <c r="AS7" i="1"/>
  <c r="AS8" i="1"/>
  <c r="AS9" i="1"/>
  <c r="AS10" i="1"/>
  <c r="AS11" i="1"/>
  <c r="AS15" i="1"/>
  <c r="AS16" i="1"/>
  <c r="AS17" i="1"/>
  <c r="AS18" i="1"/>
  <c r="AS19" i="1"/>
  <c r="AS20" i="1"/>
  <c r="AQ2" i="1"/>
  <c r="AQ3" i="1"/>
  <c r="AQ5" i="1"/>
  <c r="AQ6" i="1"/>
  <c r="AQ7" i="1"/>
  <c r="AQ8" i="1"/>
  <c r="AQ9" i="1"/>
  <c r="AQ10" i="1"/>
  <c r="AQ11" i="1"/>
  <c r="AQ15" i="1"/>
  <c r="AQ16" i="1"/>
  <c r="AQ17" i="1"/>
  <c r="AQ18" i="1"/>
  <c r="AQ19" i="1"/>
  <c r="AQ20" i="1"/>
  <c r="AO2" i="1"/>
  <c r="AO3" i="1"/>
  <c r="AO4" i="1"/>
  <c r="AO5" i="1"/>
  <c r="AO6" i="1"/>
  <c r="AO7" i="1"/>
  <c r="AO8" i="1"/>
  <c r="AO9" i="1"/>
  <c r="AO10" i="1"/>
  <c r="AO11" i="1"/>
  <c r="AO15" i="1"/>
  <c r="AO16" i="1"/>
  <c r="AO17" i="1"/>
  <c r="AO18" i="1"/>
  <c r="AO19" i="1"/>
  <c r="AO20" i="1"/>
  <c r="AN2" i="1"/>
  <c r="AN3" i="1"/>
  <c r="AN4" i="1"/>
  <c r="AN5" i="1"/>
  <c r="AN6" i="1"/>
  <c r="AN7" i="1"/>
  <c r="AN8" i="1"/>
  <c r="AN9" i="1"/>
  <c r="AN10" i="1"/>
  <c r="AN11" i="1"/>
  <c r="AN15" i="1"/>
  <c r="AN16" i="1"/>
  <c r="AN17" i="1"/>
  <c r="AN18" i="1"/>
  <c r="AN19" i="1"/>
  <c r="AN20" i="1"/>
  <c r="AL2" i="1"/>
  <c r="AL3" i="1"/>
  <c r="AL5" i="1"/>
  <c r="AL6" i="1"/>
  <c r="AL7" i="1"/>
  <c r="AL8" i="1"/>
  <c r="AL9" i="1"/>
  <c r="AL10" i="1"/>
  <c r="AL11" i="1"/>
  <c r="AL15" i="1"/>
  <c r="AL16" i="1"/>
  <c r="AL17" i="1"/>
  <c r="AL18" i="1"/>
  <c r="AL19" i="1"/>
  <c r="AL20" i="1"/>
  <c r="AH2" i="1"/>
  <c r="AX2" i="1" s="1"/>
  <c r="AH3" i="1"/>
  <c r="AI3" i="1" s="1"/>
  <c r="AR3" i="1" s="1"/>
  <c r="AH4" i="1"/>
  <c r="AH5" i="1"/>
  <c r="AI5" i="1" s="1"/>
  <c r="AV5" i="1" s="1"/>
  <c r="AH6" i="1"/>
  <c r="AI6" i="1" s="1"/>
  <c r="AV6" i="1" s="1"/>
  <c r="AH7" i="1"/>
  <c r="AI7" i="1" s="1"/>
  <c r="AR7" i="1" s="1"/>
  <c r="AH8" i="1"/>
  <c r="AI8" i="1" s="1"/>
  <c r="AW8" i="1" s="1"/>
  <c r="AH9" i="1"/>
  <c r="AT9" i="1" s="1"/>
  <c r="AH10" i="1"/>
  <c r="AX10" i="1" s="1"/>
  <c r="AH11" i="1"/>
  <c r="AX11" i="1" s="1"/>
  <c r="AH15" i="1"/>
  <c r="AT15" i="1" s="1"/>
  <c r="AH16" i="1"/>
  <c r="AX16" i="1" s="1"/>
  <c r="AH17" i="1"/>
  <c r="AX17" i="1" s="1"/>
  <c r="AH18" i="1"/>
  <c r="AX18" i="1" s="1"/>
  <c r="AH19" i="1"/>
  <c r="AH20" i="1"/>
  <c r="AT20" i="1" s="1"/>
  <c r="M2" i="1"/>
  <c r="M3" i="1"/>
  <c r="O3" i="1" s="1"/>
  <c r="AK3" i="1" s="1"/>
  <c r="M4" i="1"/>
  <c r="O4" i="1" s="1"/>
  <c r="M5" i="1"/>
  <c r="M6" i="1"/>
  <c r="O6" i="1" s="1"/>
  <c r="AK6" i="1" s="1"/>
  <c r="M7" i="1"/>
  <c r="O7" i="1" s="1"/>
  <c r="AK7" i="1" s="1"/>
  <c r="M8" i="1"/>
  <c r="M9" i="1"/>
  <c r="M10" i="1"/>
  <c r="O10" i="1" s="1"/>
  <c r="AK10" i="1" s="1"/>
  <c r="M11" i="1"/>
  <c r="O11" i="1" s="1"/>
  <c r="AK11" i="1" s="1"/>
  <c r="M15" i="1"/>
  <c r="O15" i="1" s="1"/>
  <c r="AK15" i="1" s="1"/>
  <c r="M16" i="1"/>
  <c r="O16" i="1" s="1"/>
  <c r="M17" i="1"/>
  <c r="O17" i="1" s="1"/>
  <c r="M18" i="1"/>
  <c r="O18" i="1" s="1"/>
  <c r="AK18" i="1" s="1"/>
  <c r="M19" i="1"/>
  <c r="O19" i="1" s="1"/>
  <c r="M20" i="1"/>
  <c r="O20" i="1" s="1"/>
  <c r="AI13" i="1" l="1"/>
  <c r="AX13" i="1"/>
  <c r="AV8" i="1"/>
  <c r="AV7" i="1"/>
  <c r="AV3" i="1"/>
  <c r="AI20" i="1"/>
  <c r="AI17" i="1"/>
  <c r="AV17" i="1" s="1"/>
  <c r="AI16" i="1"/>
  <c r="AT17" i="1"/>
  <c r="AT16" i="1"/>
  <c r="AT8" i="1"/>
  <c r="AT3" i="1"/>
  <c r="AT2" i="1"/>
  <c r="AT5" i="1"/>
  <c r="AX15" i="1"/>
  <c r="AI10" i="1"/>
  <c r="AV10" i="1" s="1"/>
  <c r="AI9" i="1"/>
  <c r="AV9" i="1" s="1"/>
  <c r="AR6" i="1"/>
  <c r="AX9" i="1"/>
  <c r="AI2" i="1"/>
  <c r="AV2" i="1" s="1"/>
  <c r="AR5" i="1"/>
  <c r="AT10" i="1"/>
  <c r="AX8" i="1"/>
  <c r="AW6" i="1"/>
  <c r="AR8" i="1"/>
  <c r="AW3" i="1"/>
  <c r="AT19" i="1"/>
  <c r="AX19" i="1"/>
  <c r="O2" i="1"/>
  <c r="AK2" i="1" s="1"/>
  <c r="AT11" i="1"/>
  <c r="O5" i="1"/>
  <c r="AK5" i="1" s="1"/>
  <c r="AI11" i="1"/>
  <c r="AV11" i="1" s="1"/>
  <c r="AW5" i="1"/>
  <c r="AT7" i="1"/>
  <c r="O9" i="1"/>
  <c r="AK9" i="1" s="1"/>
  <c r="O8" i="1"/>
  <c r="AK8" i="1" s="1"/>
  <c r="AW7" i="1"/>
  <c r="AT6" i="1"/>
  <c r="AI4" i="1"/>
  <c r="AV4" i="1" s="1"/>
  <c r="AX4" i="1"/>
  <c r="AT4" i="1"/>
  <c r="AI19" i="1"/>
  <c r="AV19" i="1" s="1"/>
  <c r="AI18" i="1"/>
  <c r="AV18" i="1" s="1"/>
  <c r="AX7" i="1"/>
  <c r="AK19" i="1"/>
  <c r="AT18" i="1"/>
  <c r="AX6" i="1"/>
  <c r="AK17" i="1"/>
  <c r="AX5" i="1"/>
  <c r="AK20" i="1"/>
  <c r="AK16" i="1"/>
  <c r="AI15" i="1"/>
  <c r="AV15" i="1" s="1"/>
  <c r="AX3" i="1"/>
  <c r="AX20" i="1"/>
  <c r="AV13" i="1" l="1"/>
  <c r="AR13" i="1"/>
  <c r="AW13" i="1"/>
  <c r="AY13" i="1" s="1"/>
  <c r="BA13" i="1" s="1"/>
  <c r="BB13" i="1" s="1"/>
  <c r="BE13" i="1" s="1"/>
  <c r="BD13" i="1"/>
  <c r="AR20" i="1"/>
  <c r="AV20" i="1"/>
  <c r="AW16" i="1"/>
  <c r="AV16" i="1"/>
  <c r="AW20" i="1"/>
  <c r="AR16" i="1"/>
  <c r="AW17" i="1"/>
  <c r="AR17" i="1"/>
  <c r="AW10" i="1"/>
  <c r="AR10" i="1"/>
  <c r="AW9" i="1"/>
  <c r="AR9" i="1"/>
  <c r="AY8" i="1"/>
  <c r="BA8" i="1" s="1"/>
  <c r="BB8" i="1" s="1"/>
  <c r="BE8" i="1" s="1"/>
  <c r="AY3" i="1"/>
  <c r="BA3" i="1" s="1"/>
  <c r="BB3" i="1" s="1"/>
  <c r="BE3" i="1" s="1"/>
  <c r="AY6" i="1"/>
  <c r="BA6" i="1" s="1"/>
  <c r="BB6" i="1" s="1"/>
  <c r="BE6" i="1" s="1"/>
  <c r="AW2" i="1"/>
  <c r="AY5" i="1"/>
  <c r="BA5" i="1" s="1"/>
  <c r="BB5" i="1" s="1"/>
  <c r="AR2" i="1"/>
  <c r="AR18" i="1"/>
  <c r="AW18" i="1"/>
  <c r="AW4" i="1"/>
  <c r="AR4" i="1"/>
  <c r="AR15" i="1"/>
  <c r="AW15" i="1"/>
  <c r="AR11" i="1"/>
  <c r="AW11" i="1"/>
  <c r="AY7" i="1"/>
  <c r="BA7" i="1" s="1"/>
  <c r="BB7" i="1" s="1"/>
  <c r="AR19" i="1"/>
  <c r="AW19" i="1"/>
  <c r="AY9" i="1" l="1"/>
  <c r="BA9" i="1" s="1"/>
  <c r="BB9" i="1" s="1"/>
  <c r="BF13" i="1"/>
  <c r="BG13" i="1" s="1"/>
  <c r="BL13" i="1"/>
  <c r="BN13" i="1" s="1"/>
  <c r="AY18" i="1"/>
  <c r="BA18" i="1" s="1"/>
  <c r="BB18" i="1" s="1"/>
  <c r="BE18" i="1" s="1"/>
  <c r="AY20" i="1"/>
  <c r="BA20" i="1" s="1"/>
  <c r="BB20" i="1" s="1"/>
  <c r="BF20" i="1" s="1"/>
  <c r="AY16" i="1"/>
  <c r="BA16" i="1" s="1"/>
  <c r="BB16" i="1" s="1"/>
  <c r="BF16" i="1" s="1"/>
  <c r="AY15" i="1"/>
  <c r="BA15" i="1" s="1"/>
  <c r="BB15" i="1" s="1"/>
  <c r="BE15" i="1" s="1"/>
  <c r="AY17" i="1"/>
  <c r="BA17" i="1" s="1"/>
  <c r="BB17" i="1" s="1"/>
  <c r="BF17" i="1" s="1"/>
  <c r="AY10" i="1"/>
  <c r="BA10" i="1" s="1"/>
  <c r="BB10" i="1" s="1"/>
  <c r="BF8" i="1"/>
  <c r="BD8" i="1"/>
  <c r="BD3" i="1"/>
  <c r="BF3" i="1"/>
  <c r="BF6" i="1"/>
  <c r="BD6" i="1"/>
  <c r="AY2" i="1"/>
  <c r="BA2" i="1" s="1"/>
  <c r="BB2" i="1" s="1"/>
  <c r="BD2" i="1" s="1"/>
  <c r="BF5" i="1"/>
  <c r="BE5" i="1"/>
  <c r="BD5" i="1"/>
  <c r="AY11" i="1"/>
  <c r="BA11" i="1" s="1"/>
  <c r="BB11" i="1" s="1"/>
  <c r="BE7" i="1"/>
  <c r="BD7" i="1"/>
  <c r="BF7" i="1"/>
  <c r="AY4" i="1"/>
  <c r="BA4" i="1" s="1"/>
  <c r="BB4" i="1" s="1"/>
  <c r="AY19" i="1"/>
  <c r="BA19" i="1" s="1"/>
  <c r="BB19" i="1" s="1"/>
  <c r="BD9" i="1" l="1"/>
  <c r="BE9" i="1"/>
  <c r="BF9" i="1"/>
  <c r="BG9" i="1" s="1"/>
  <c r="BJ13" i="1"/>
  <c r="BK13" i="1"/>
  <c r="BF18" i="1"/>
  <c r="BD18" i="1"/>
  <c r="BG3" i="1"/>
  <c r="BE20" i="1"/>
  <c r="BD20" i="1"/>
  <c r="BD16" i="1"/>
  <c r="BE16" i="1"/>
  <c r="BG16" i="1" s="1"/>
  <c r="BJ16" i="1" s="1"/>
  <c r="BD15" i="1"/>
  <c r="BD17" i="1"/>
  <c r="BE17" i="1"/>
  <c r="BF15" i="1"/>
  <c r="BD10" i="1"/>
  <c r="BE10" i="1"/>
  <c r="BF10" i="1"/>
  <c r="BG8" i="1"/>
  <c r="BG7" i="1"/>
  <c r="BE2" i="1"/>
  <c r="BF2" i="1"/>
  <c r="BG6" i="1"/>
  <c r="BF4" i="1"/>
  <c r="BE4" i="1"/>
  <c r="BD4" i="1"/>
  <c r="BG5" i="1"/>
  <c r="BE11" i="1"/>
  <c r="BF11" i="1"/>
  <c r="BD11" i="1"/>
  <c r="BD19" i="1"/>
  <c r="BF19" i="1"/>
  <c r="BE19" i="1"/>
  <c r="BG18" i="1"/>
  <c r="BJ18" i="1" s="1"/>
  <c r="BJ5" i="1" l="1"/>
  <c r="BK5" i="1"/>
  <c r="BJ6" i="1"/>
  <c r="BK6" i="1"/>
  <c r="BJ8" i="1"/>
  <c r="BK8" i="1"/>
  <c r="BJ9" i="1"/>
  <c r="BK9" i="1"/>
  <c r="BJ7" i="1"/>
  <c r="BK7" i="1"/>
  <c r="BJ3" i="1"/>
  <c r="BK3" i="1"/>
  <c r="BG20" i="1"/>
  <c r="BJ20" i="1" s="1"/>
  <c r="BG17" i="1"/>
  <c r="BJ17" i="1" s="1"/>
  <c r="BG15" i="1"/>
  <c r="BJ15" i="1" s="1"/>
  <c r="BG10" i="1"/>
  <c r="BG2" i="1"/>
  <c r="BK2" i="1" s="1"/>
  <c r="BG19" i="1"/>
  <c r="BJ19" i="1" s="1"/>
  <c r="BG11" i="1"/>
  <c r="BG4" i="1"/>
  <c r="BJ4" i="1" l="1"/>
  <c r="BK4" i="1"/>
  <c r="BJ11" i="1"/>
  <c r="BK11" i="1"/>
  <c r="BJ10" i="1"/>
  <c r="BK10" i="1"/>
  <c r="BK12" i="1"/>
  <c r="BG12" i="1"/>
  <c r="BJ2" i="1"/>
  <c r="BJ12" i="1" s="1"/>
  <c r="B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Sathish</author>
  </authors>
  <commentList>
    <comment ref="M1" authorId="0" shapeId="0" xr:uid="{17E8EA16-2401-46EC-81EC-4F3F17DF2626}">
      <text>
        <r>
          <rPr>
            <b/>
            <sz val="9"/>
            <color indexed="81"/>
            <rFont val="Tahoma"/>
            <family val="2"/>
          </rPr>
          <t>Sathish:</t>
        </r>
        <r>
          <rPr>
            <sz val="9"/>
            <color indexed="81"/>
            <rFont val="Tahoma"/>
            <family val="2"/>
          </rPr>
          <t xml:space="preserve">
Mild Steel:</t>
        </r>
      </text>
    </comment>
  </commentList>
</comments>
</file>

<file path=xl/sharedStrings.xml><?xml version="1.0" encoding="utf-8"?>
<sst xmlns="http://schemas.openxmlformats.org/spreadsheetml/2006/main" count="122" uniqueCount="86">
  <si>
    <t>Cutting time</t>
  </si>
  <si>
    <t>CSK</t>
  </si>
  <si>
    <t>Cutting Length</t>
  </si>
  <si>
    <t>BO COST/FASTNERS</t>
  </si>
  <si>
    <t>SPHC</t>
  </si>
  <si>
    <t>MS-IS513</t>
  </si>
  <si>
    <t>COL TEN TEXTURE</t>
  </si>
  <si>
    <t>M6 WELD NUT</t>
  </si>
  <si>
    <t>BLACK PRIMER</t>
  </si>
  <si>
    <t>M8 WELD NUT</t>
  </si>
  <si>
    <t>AC43705---</t>
  </si>
  <si>
    <t>Control box cover</t>
  </si>
  <si>
    <t>MK0102080D</t>
  </si>
  <si>
    <t>Dust Collecting Duct KIT</t>
  </si>
  <si>
    <t>DAA0547---</t>
  </si>
  <si>
    <t>Duct_Cover_1</t>
  </si>
  <si>
    <t>DA91687--A</t>
  </si>
  <si>
    <t>F-UN Cover Bracket</t>
  </si>
  <si>
    <t>MS-IS2062</t>
  </si>
  <si>
    <t>DAA0341--B</t>
  </si>
  <si>
    <t>Duct 1</t>
  </si>
  <si>
    <t>DAA0342--B</t>
  </si>
  <si>
    <t>Duct 2</t>
  </si>
  <si>
    <t>SS400</t>
  </si>
  <si>
    <t>DAA0343--B</t>
  </si>
  <si>
    <t>Duct 3</t>
  </si>
  <si>
    <t>1.1.1</t>
  </si>
  <si>
    <t>1.1.2</t>
  </si>
  <si>
    <t>1.4.1</t>
  </si>
  <si>
    <t>1.5.1</t>
  </si>
  <si>
    <t>customer master</t>
  </si>
  <si>
    <t>material master</t>
  </si>
  <si>
    <t>process master</t>
  </si>
  <si>
    <t>Sl. No</t>
  </si>
  <si>
    <t>Part Number</t>
  </si>
  <si>
    <t>Part Model</t>
  </si>
  <si>
    <t>Description</t>
  </si>
  <si>
    <t>Material in Drawing</t>
  </si>
  <si>
    <t>Material Considered</t>
  </si>
  <si>
    <t>Treatment/Color</t>
  </si>
  <si>
    <t>Qty / Assy</t>
  </si>
  <si>
    <t>Material Rate / kg</t>
  </si>
  <si>
    <t>Length</t>
  </si>
  <si>
    <t>Width</t>
  </si>
  <si>
    <t>Thickness</t>
  </si>
  <si>
    <t>Blank Weight</t>
  </si>
  <si>
    <t>Part Weight (if required)</t>
  </si>
  <si>
    <t>Scrap Weight (if required)</t>
  </si>
  <si>
    <t>No. of Bend</t>
  </si>
  <si>
    <t>Fasteners</t>
  </si>
  <si>
    <t>Fasteners Qty</t>
  </si>
  <si>
    <t>Fasteners Cost</t>
  </si>
  <si>
    <t xml:space="preserve">Welding </t>
  </si>
  <si>
    <t>Drilling</t>
  </si>
  <si>
    <t>Tapping</t>
  </si>
  <si>
    <t>Hot Dip Galvanizing</t>
  </si>
  <si>
    <t>Primer</t>
  </si>
  <si>
    <t>Shot Blasting</t>
  </si>
  <si>
    <t>Polishing</t>
  </si>
  <si>
    <t>Plating</t>
  </si>
  <si>
    <t>Powder Coating</t>
  </si>
  <si>
    <t>Foam</t>
  </si>
  <si>
    <t>Soft Anodize</t>
  </si>
  <si>
    <t>Area in Sq.in</t>
  </si>
  <si>
    <t>Are in Sq.ft</t>
  </si>
  <si>
    <t>Remarks</t>
  </si>
  <si>
    <t>Material Cost</t>
  </si>
  <si>
    <t>Cutting Cost</t>
  </si>
  <si>
    <t>Bending Cost</t>
  </si>
  <si>
    <t>Drilling / Tapping Cost</t>
  </si>
  <si>
    <t>Welding Cost</t>
  </si>
  <si>
    <t>Machining Cost</t>
  </si>
  <si>
    <t>Total Process Cost</t>
  </si>
  <si>
    <t>Material Cost + Total Process Cost  + Other</t>
  </si>
  <si>
    <t>Sub Total 1</t>
  </si>
  <si>
    <t>Rejection</t>
  </si>
  <si>
    <t>OH Profit</t>
  </si>
  <si>
    <t>Inspection &amp; Packing %</t>
  </si>
  <si>
    <t>Transportation %</t>
  </si>
  <si>
    <t>Unit Product Price in INR</t>
  </si>
  <si>
    <t>Exchange Rate USD</t>
  </si>
  <si>
    <t>Exchange Rate EURO</t>
  </si>
  <si>
    <t>Unit Product Price in USD</t>
  </si>
  <si>
    <t>Unit Product Price in EURO</t>
  </si>
  <si>
    <t>Tool Cost</t>
  </si>
  <si>
    <t>Unit Product Price + Tool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</si>
</sst>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0.0"/>
    <numFmt numFmtId="167" formatCode="_ [$₹-4009]\ * #,##0.00_ ;_ [$₹-4009]\ * \-#,##0.00_ ;_ [$₹-4009]\ * &quot;-&quot;??_ ;_ @_ "/>
    <numFmt numFmtId="168" formatCode="_-[$$-409]* #,##0.00_ ;_-[$$-409]* \-#,##0.00\ ;_-[$$-409]* &quot;-&quot;??_ ;_-@_ "/>
    <numFmt numFmtId="169" formatCode="_ [$€-2]\ * #,##0.00_ ;_ [$€-2]\ * \-#,##0.00_ ;_ [$€-2]\ * &quot;-&quot;??_ ;_ @_ "/>
  </numFmts>
  <fonts count="13">
    <font>
      <sz val="11"/>
      <color theme="1"/>
      <name val="Times New Roman"/>
      <family val="2"/>
      <scheme val="minor"/>
    </font>
    <font>
      <sz val="11"/>
      <color theme="0"/>
      <name val="Times New Roman"/>
      <family val="2"/>
      <scheme val="minor"/>
    </font>
    <font>
      <sz val="11"/>
      <color theme="1"/>
      <name val="Times New Roman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2"/>
      <scheme val="minor"/>
    </font>
    <font>
      <sz val="12"/>
      <name val="Times New Roman"/>
      <family val="2"/>
      <scheme val="minor"/>
    </font>
    <font>
      <sz val="8"/>
      <name val="Times New Roman"/>
      <family val="2"/>
      <scheme val="minor"/>
    </font>
    <font>
      <sz val="10"/>
      <name val="Geneva"/>
    </font>
    <font>
      <b/>
      <sz val="15"/>
      <name val="Times New Roman"/>
      <family val="1"/>
      <scheme val="minor"/>
    </font>
    <font>
      <b/>
      <sz val="16"/>
      <name val="Times New Roman"/>
      <family val="1"/>
      <scheme val="minor"/>
    </font>
    <font>
      <sz val="12"/>
      <color theme="1"/>
      <name val="Times New Roman"/>
      <family val="1"/>
      <scheme val="minor"/>
    </font>
    <font>
      <sz val="11"/>
      <color theme="1"/>
      <name val="Times New Roman"/>
      <family val="1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/>
    <xf numFmtId="164" fontId="2" fillId="0" borderId="0" applyFont="0" applyFill="0" applyBorder="0" applyAlignment="0" applyProtection="0"/>
  </cellStyleXfs>
  <cellXfs count="47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5" fontId="6" fillId="8" borderId="1" xfId="2" applyFont="1" applyFill="1" applyBorder="1" applyAlignment="1">
      <alignment horizontal="center" vertical="center" wrapText="1"/>
    </xf>
    <xf numFmtId="168" fontId="6" fillId="8" borderId="1" xfId="2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2" fontId="6" fillId="7" borderId="2" xfId="1" applyNumberFormat="1" applyFont="1" applyFill="1" applyBorder="1" applyAlignment="1">
      <alignment horizontal="center" vertical="center" wrapText="1"/>
    </xf>
    <xf numFmtId="2" fontId="6" fillId="4" borderId="2" xfId="1" applyNumberFormat="1" applyFont="1" applyFill="1" applyBorder="1" applyAlignment="1">
      <alignment horizontal="center" vertical="center" wrapText="1"/>
    </xf>
    <xf numFmtId="2" fontId="6" fillId="5" borderId="2" xfId="1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166" fontId="6" fillId="5" borderId="2" xfId="1" applyNumberFormat="1" applyFont="1" applyFill="1" applyBorder="1" applyAlignment="1">
      <alignment horizontal="center" vertical="center" wrapText="1"/>
    </xf>
    <xf numFmtId="166" fontId="6" fillId="8" borderId="2" xfId="2" applyNumberFormat="1" applyFont="1" applyFill="1" applyBorder="1" applyAlignment="1">
      <alignment horizontal="center" vertical="center" wrapText="1"/>
    </xf>
    <xf numFmtId="165" fontId="6" fillId="5" borderId="2" xfId="2" applyFont="1" applyFill="1" applyBorder="1" applyAlignment="1">
      <alignment horizontal="center" vertical="center" wrapText="1"/>
    </xf>
    <xf numFmtId="167" fontId="6" fillId="8" borderId="2" xfId="2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8" fontId="9" fillId="3" borderId="1" xfId="0" applyNumberFormat="1" applyFont="1" applyFill="1" applyBorder="1" applyAlignment="1">
      <alignment horizontal="center" vertical="center" wrapText="1"/>
    </xf>
    <xf numFmtId="167" fontId="10" fillId="9" borderId="1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5" fillId="0" borderId="2" xfId="5" applyFont="1" applyBorder="1" applyAlignment="1">
      <alignment horizontal="center" vertical="center" wrapText="1"/>
    </xf>
    <xf numFmtId="169" fontId="6" fillId="8" borderId="1" xfId="2" applyNumberFormat="1" applyFont="1" applyFill="1" applyBorder="1" applyAlignment="1">
      <alignment horizontal="center" vertical="center" wrapText="1"/>
    </xf>
    <xf numFmtId="169" fontId="5" fillId="3" borderId="0" xfId="0" applyNumberFormat="1" applyFont="1" applyFill="1" applyAlignment="1">
      <alignment horizontal="center" vertical="center" wrapText="1"/>
    </xf>
    <xf numFmtId="169" fontId="5" fillId="0" borderId="5" xfId="0" applyNumberFormat="1" applyFont="1" applyBorder="1" applyAlignment="1">
      <alignment horizontal="center" vertical="center" wrapText="1"/>
    </xf>
    <xf numFmtId="169" fontId="5" fillId="0" borderId="2" xfId="0" applyNumberFormat="1" applyFont="1" applyBorder="1" applyAlignment="1">
      <alignment horizontal="center" vertical="center" wrapText="1"/>
    </xf>
    <xf numFmtId="169" fontId="5" fillId="3" borderId="6" xfId="0" applyNumberFormat="1" applyFont="1" applyFill="1" applyBorder="1" applyAlignment="1">
      <alignment horizontal="center" vertical="center" wrapText="1"/>
    </xf>
    <xf numFmtId="169" fontId="5" fillId="3" borderId="3" xfId="0" applyNumberFormat="1" applyFont="1" applyFill="1" applyBorder="1" applyAlignment="1">
      <alignment horizontal="center" vertical="center" wrapText="1"/>
    </xf>
    <xf numFmtId="168" fontId="6" fillId="8" borderId="2" xfId="2" applyNumberFormat="1" applyFont="1" applyFill="1" applyBorder="1" applyAlignment="1">
      <alignment horizontal="center" vertical="center" wrapText="1"/>
    </xf>
    <xf numFmtId="169" fontId="6" fillId="8" borderId="2" xfId="2" applyNumberFormat="1" applyFont="1" applyFill="1" applyBorder="1" applyAlignment="1">
      <alignment horizontal="center" vertical="center" wrapText="1"/>
    </xf>
    <xf numFmtId="0" fontId="12" fillId="0" borderId="0" xfId="0" applyFont="1"/>
    <xf numFmtId="0" fontId="5" fillId="0" borderId="0" xfId="0" applyFont="1" applyAlignment="1">
      <alignment horizontal="center" vertical="center" wrapText="1"/>
    </xf>
    <xf numFmtId="165" fontId="6" fillId="0" borderId="2" xfId="2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169" fontId="6" fillId="6" borderId="5" xfId="0" applyNumberFormat="1" applyFont="1" applyFill="1" applyBorder="1" applyAlignment="1">
      <alignment horizontal="center" vertical="center" wrapText="1"/>
    </xf>
  </cellXfs>
  <cellStyles count="6">
    <cellStyle name="60% - Accent1" xfId="1" builtinId="32"/>
    <cellStyle name="Comma" xfId="2" builtinId="3"/>
    <cellStyle name="Comma 2" xfId="3" xr:uid="{00000000-0005-0000-0000-000002000000}"/>
    <cellStyle name="Currency" xfId="5" builtinId="4"/>
    <cellStyle name="Normal" xfId="0" builtinId="0"/>
    <cellStyle name="Normal 2" xfId="4" xr:uid="{00000000-0005-0000-0000-000004000000}"/>
  </cellStyles>
  <dxfs count="0"/>
  <tableStyles count="0" defaultTableStyle="TableStyleMedium9" defaultPivotStyle="PivotStyleLight16"/>
  <colors>
    <mruColors>
      <color rgb="FF4ADC36"/>
      <color rgb="FFFF99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277091</xdr:colOff>
      <xdr:row>12</xdr:row>
      <xdr:rowOff>103909</xdr:rowOff>
    </xdr:from>
    <xdr:to>
      <xdr:col>2</xdr:col>
      <xdr:colOff>1449916</xdr:colOff>
      <xdr:row>13</xdr:row>
      <xdr:rowOff>1707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D5600A9-89A6-A6CA-F642-2F0B2F19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8091" y="16243492"/>
          <a:ext cx="1172825" cy="1274690"/>
        </a:xfrm>
        <a:prstGeom prst="rect">
          <a:avLst/>
        </a:prstGeom>
      </xdr:spPr>
    </xdr:pic>
    <xdr:clientData/>
  </xdr:twoCellAnchor>
  <xdr:twoCellAnchor editAs="oneCell">
    <xdr:from>
      <xdr:col>2</xdr:col>
      <xdr:colOff>69273</xdr:colOff>
      <xdr:row>2</xdr:row>
      <xdr:rowOff>121227</xdr:rowOff>
    </xdr:from>
    <xdr:to>
      <xdr:col>2</xdr:col>
      <xdr:colOff>1736878</xdr:colOff>
      <xdr:row>2</xdr:row>
      <xdr:rowOff>1198764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4C1B69C-7444-42B3-05B8-69397292B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0864" y="35640818"/>
          <a:ext cx="1679035" cy="1073727"/>
        </a:xfrm>
        <a:prstGeom prst="rect">
          <a:avLst/>
        </a:prstGeom>
      </xdr:spPr>
    </xdr:pic>
    <xdr:clientData/>
  </xdr:twoCellAnchor>
  <xdr:twoCellAnchor editAs="oneCell">
    <xdr:from>
      <xdr:col>2</xdr:col>
      <xdr:colOff>69272</xdr:colOff>
      <xdr:row>5</xdr:row>
      <xdr:rowOff>225137</xdr:rowOff>
    </xdr:from>
    <xdr:to>
      <xdr:col>2</xdr:col>
      <xdr:colOff>1808965</xdr:colOff>
      <xdr:row>5</xdr:row>
      <xdr:rowOff>1177637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15C8BA6-2093-55CF-3E08-7BD559C99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60863" y="39901092"/>
          <a:ext cx="1743503" cy="952500"/>
        </a:xfrm>
        <a:prstGeom prst="rect">
          <a:avLst/>
        </a:prstGeom>
      </xdr:spPr>
    </xdr:pic>
    <xdr:clientData/>
  </xdr:twoCellAnchor>
  <xdr:twoCellAnchor editAs="oneCell">
    <xdr:from>
      <xdr:col>2</xdr:col>
      <xdr:colOff>138546</xdr:colOff>
      <xdr:row>6</xdr:row>
      <xdr:rowOff>173182</xdr:rowOff>
    </xdr:from>
    <xdr:to>
      <xdr:col>2</xdr:col>
      <xdr:colOff>1675340</xdr:colOff>
      <xdr:row>6</xdr:row>
      <xdr:rowOff>1277563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46FF58E-1332-5891-2740-A6CCE5C45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0137" y="41234591"/>
          <a:ext cx="1536794" cy="1091046"/>
        </a:xfrm>
        <a:prstGeom prst="rect">
          <a:avLst/>
        </a:prstGeom>
      </xdr:spPr>
    </xdr:pic>
    <xdr:clientData/>
  </xdr:twoCellAnchor>
  <xdr:twoCellAnchor editAs="oneCell">
    <xdr:from>
      <xdr:col>2</xdr:col>
      <xdr:colOff>69274</xdr:colOff>
      <xdr:row>7</xdr:row>
      <xdr:rowOff>121227</xdr:rowOff>
    </xdr:from>
    <xdr:to>
      <xdr:col>2</xdr:col>
      <xdr:colOff>1770439</xdr:colOff>
      <xdr:row>7</xdr:row>
      <xdr:rowOff>1159167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F34D1C2-DA87-2E7D-616B-DD64ADEE1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0865" y="42568091"/>
          <a:ext cx="1714500" cy="10417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9</xdr:row>
      <xdr:rowOff>121227</xdr:rowOff>
    </xdr:from>
    <xdr:to>
      <xdr:col>2</xdr:col>
      <xdr:colOff>1659821</xdr:colOff>
      <xdr:row>9</xdr:row>
      <xdr:rowOff>1277562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E15F417-7DE9-F1AA-5DC5-73D8743AD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82091" y="45339000"/>
          <a:ext cx="147313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DEFAULT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963"/>
  <sheetViews>
    <sheetView tabSelected="1" zoomScale="90" zoomScaleNormal="90" zoomScaleSheetLayoutView="70" workbookViewId="0">
      <pane ySplit="1" topLeftCell="A2" activePane="bottomLeft" state="frozen"/>
      <selection pane="bottomLeft"/>
    </sheetView>
  </sheetViews>
  <sheetFormatPr defaultColWidth="9.109375" defaultRowHeight="15.6"/>
  <cols>
    <col min="1" max="1" width="6.6640625" style="5" customWidth="1"/>
    <col min="2" max="2" width="56.109375" style="5" customWidth="1"/>
    <col min="3" max="3" width="28.109375" style="5" customWidth="1"/>
    <col min="4" max="4" width="26.33203125" style="5" customWidth="1"/>
    <col min="5" max="5" width="21.109375" style="5" customWidth="1"/>
    <col min="6" max="6" width="14.6640625" style="5" customWidth="1"/>
    <col min="7" max="7" width="17.88671875" style="5" customWidth="1"/>
    <col min="8" max="8" width="8.6640625" style="5" customWidth="1"/>
    <col min="9" max="9" width="12" style="5" customWidth="1"/>
    <col min="10" max="10" width="11.5546875" style="5" customWidth="1"/>
    <col min="11" max="11" width="11.33203125" style="5" customWidth="1"/>
    <col min="12" max="12" width="12.5546875" style="5" customWidth="1"/>
    <col min="13" max="13" width="8.88671875" style="5" customWidth="1"/>
    <col min="14" max="14" width="12.5546875" style="5" customWidth="1"/>
    <col min="15" max="15" width="11.33203125" style="5" customWidth="1"/>
    <col min="16" max="16" width="10.5546875" style="5" customWidth="1"/>
    <col min="17" max="18" width="8.33203125" style="5" customWidth="1"/>
    <col min="19" max="19" width="26.109375" style="5" customWidth="1"/>
    <col min="20" max="20" width="12.33203125" style="5" customWidth="1"/>
    <col min="21" max="21" width="11.33203125" style="5" customWidth="1"/>
    <col min="22" max="22" width="9.109375" style="5" customWidth="1"/>
    <col min="23" max="24" width="7.6640625" style="5" customWidth="1"/>
    <col min="25" max="33" width="9.109375" style="5" customWidth="1"/>
    <col min="34" max="35" width="17.6640625" style="5" customWidth="1"/>
    <col min="36" max="36" width="51.44140625" style="5" customWidth="1"/>
    <col min="37" max="37" width="11" style="5" customWidth="1"/>
    <col min="38" max="38" width="9.44140625" style="5" customWidth="1"/>
    <col min="39" max="39" width="11.88671875" style="5" customWidth="1"/>
    <col min="40" max="40" width="10.88671875" style="5" customWidth="1"/>
    <col min="41" max="41" width="11.5546875" style="5" customWidth="1"/>
    <col min="42" max="42" width="12.5546875" style="37" customWidth="1"/>
    <col min="43" max="45" width="12.5546875" style="5" customWidth="1"/>
    <col min="46" max="46" width="11.109375" style="5" customWidth="1"/>
    <col min="47" max="47" width="10.44140625" style="37" customWidth="1"/>
    <col min="48" max="49" width="10.33203125" style="5" customWidth="1"/>
    <col min="50" max="50" width="10.109375" style="5" customWidth="1"/>
    <col min="51" max="51" width="11.6640625" style="5" customWidth="1"/>
    <col min="52" max="52" width="12" style="5" customWidth="1"/>
    <col min="53" max="53" width="18" style="5" customWidth="1"/>
    <col min="54" max="54" width="12.33203125" style="5" customWidth="1"/>
    <col min="55" max="55" width="15.109375" style="37" customWidth="1"/>
    <col min="56" max="56" width="13.109375" style="5" customWidth="1"/>
    <col min="57" max="57" width="13.6640625" style="5" customWidth="1"/>
    <col min="58" max="58" width="17.6640625" style="5" customWidth="1"/>
    <col min="59" max="59" width="14.44140625" style="5" customWidth="1"/>
    <col min="60" max="62" width="12.5546875" style="5" customWidth="1"/>
    <col min="63" max="63" width="12.5546875" style="29" customWidth="1"/>
    <col min="64" max="64" width="18.33203125" style="4" bestFit="1" customWidth="1"/>
    <col min="65" max="65" width="13.33203125" style="4" bestFit="1" customWidth="1"/>
    <col min="66" max="66" width="9.5546875" style="5" bestFit="1" customWidth="1"/>
    <col min="67" max="16384" width="9.109375" style="5"/>
  </cols>
  <sheetData>
    <row r="1" spans="1:110" s="2" customFormat="1" ht="69.75" customHeight="1">
      <c r="A1" s="39" t="s">
        <v>33</v>
      </c>
      <c r="B1" s="39" t="s">
        <v>34</v>
      </c>
      <c r="C1" s="39" t="s">
        <v>35</v>
      </c>
      <c r="D1" s="39" t="s">
        <v>36</v>
      </c>
      <c r="E1" s="39" t="s">
        <v>37</v>
      </c>
      <c r="F1" s="39" t="s">
        <v>38</v>
      </c>
      <c r="G1" s="39" t="s">
        <v>39</v>
      </c>
      <c r="H1" s="39" t="s">
        <v>40</v>
      </c>
      <c r="I1" s="40" t="s">
        <v>41</v>
      </c>
      <c r="J1" s="39" t="s">
        <v>42</v>
      </c>
      <c r="K1" s="39" t="s">
        <v>43</v>
      </c>
      <c r="L1" s="39" t="s">
        <v>44</v>
      </c>
      <c r="M1" s="40" t="s">
        <v>45</v>
      </c>
      <c r="N1" s="39" t="s">
        <v>46</v>
      </c>
      <c r="O1" s="40" t="s">
        <v>47</v>
      </c>
      <c r="P1" s="41" t="s">
        <v>0</v>
      </c>
      <c r="Q1" s="41" t="s">
        <v>2</v>
      </c>
      <c r="R1" s="39" t="s">
        <v>48</v>
      </c>
      <c r="S1" s="42" t="s">
        <v>49</v>
      </c>
      <c r="T1" s="42" t="s">
        <v>50</v>
      </c>
      <c r="U1" s="42" t="s">
        <v>51</v>
      </c>
      <c r="V1" s="43" t="s">
        <v>52</v>
      </c>
      <c r="W1" s="43" t="s">
        <v>53</v>
      </c>
      <c r="X1" s="43" t="s">
        <v>54</v>
      </c>
      <c r="Y1" s="43" t="s">
        <v>1</v>
      </c>
      <c r="Z1" s="44" t="s">
        <v>55</v>
      </c>
      <c r="AA1" s="44" t="s">
        <v>56</v>
      </c>
      <c r="AB1" s="44" t="s">
        <v>57</v>
      </c>
      <c r="AC1" s="44" t="s">
        <v>58</v>
      </c>
      <c r="AD1" s="44" t="s">
        <v>59</v>
      </c>
      <c r="AE1" s="44" t="s">
        <v>60</v>
      </c>
      <c r="AF1" s="44" t="s">
        <v>61</v>
      </c>
      <c r="AG1" s="44" t="s">
        <v>62</v>
      </c>
      <c r="AH1" s="45" t="s">
        <v>63</v>
      </c>
      <c r="AI1" s="45" t="s">
        <v>64</v>
      </c>
      <c r="AJ1" s="45" t="s">
        <v>65</v>
      </c>
      <c r="AK1" s="45" t="s">
        <v>66</v>
      </c>
      <c r="AL1" s="45" t="s">
        <v>67</v>
      </c>
      <c r="AM1" s="45" t="s">
        <v>68</v>
      </c>
      <c r="AN1" s="45" t="s">
        <v>69</v>
      </c>
      <c r="AO1" s="45" t="s">
        <v>70</v>
      </c>
      <c r="AP1" s="45" t="s">
        <v>71</v>
      </c>
      <c r="AQ1" s="45" t="s">
        <v>55</v>
      </c>
      <c r="AR1" s="45" t="s">
        <v>56</v>
      </c>
      <c r="AS1" s="45" t="s">
        <v>57</v>
      </c>
      <c r="AT1" s="45" t="s">
        <v>58</v>
      </c>
      <c r="AU1" s="45" t="s">
        <v>59</v>
      </c>
      <c r="AV1" s="45" t="s">
        <v>60</v>
      </c>
      <c r="AW1" s="45" t="s">
        <v>61</v>
      </c>
      <c r="AX1" s="45" t="s">
        <v>62</v>
      </c>
      <c r="AY1" s="45" t="s">
        <v>72</v>
      </c>
      <c r="AZ1" s="45" t="s">
        <v>3</v>
      </c>
      <c r="BA1" s="45" t="s">
        <v>73</v>
      </c>
      <c r="BB1" s="45" t="s">
        <v>74</v>
      </c>
      <c r="BC1" s="45" t="s">
        <v>75</v>
      </c>
      <c r="BD1" s="45" t="s">
        <v>76</v>
      </c>
      <c r="BE1" s="45" t="s">
        <v>77</v>
      </c>
      <c r="BF1" s="45" t="s">
        <v>78</v>
      </c>
      <c r="BG1" s="45" t="s">
        <v>79</v>
      </c>
      <c r="BH1" s="45" t="s">
        <v>80</v>
      </c>
      <c r="BI1" s="45" t="s">
        <v>81</v>
      </c>
      <c r="BJ1" s="45" t="s">
        <v>82</v>
      </c>
      <c r="BK1" s="46" t="s">
        <v>83</v>
      </c>
      <c r="BL1" s="45" t="s">
        <v>79</v>
      </c>
      <c r="BM1" s="45" t="s">
        <v>84</v>
      </c>
      <c r="BN1" s="45" t="s">
        <v>85</v>
      </c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0" s="13" customFormat="1" ht="109.5" customHeight="1">
      <c r="A2" s="13">
        <v>1</v>
      </c>
      <c r="B2" s="13" t="s">
        <v>12</v>
      </c>
      <c r="D2" s="13" t="s">
        <v>13</v>
      </c>
      <c r="G2" s="14"/>
      <c r="H2" s="4">
        <v>1</v>
      </c>
      <c r="I2" s="15">
        <v>85</v>
      </c>
      <c r="J2" s="13">
        <v>0</v>
      </c>
      <c r="K2" s="13">
        <v>0</v>
      </c>
      <c r="L2" s="13">
        <v>0</v>
      </c>
      <c r="M2" s="16">
        <f t="shared" ref="M2:M13" si="0">(L2*K2*J2*7.85)/1000000</f>
        <v>0</v>
      </c>
      <c r="N2" s="13">
        <v>0</v>
      </c>
      <c r="O2" s="16">
        <f t="shared" ref="O2:O13" si="1">M2-N2</f>
        <v>0</v>
      </c>
      <c r="P2" s="13">
        <v>0</v>
      </c>
      <c r="Q2" s="14">
        <v>0</v>
      </c>
      <c r="R2" s="13">
        <v>0</v>
      </c>
      <c r="S2" s="3">
        <v>0</v>
      </c>
      <c r="T2" s="14">
        <v>0</v>
      </c>
      <c r="U2" s="14">
        <v>0</v>
      </c>
      <c r="V2" s="13">
        <v>0</v>
      </c>
      <c r="W2" s="13">
        <v>0</v>
      </c>
      <c r="X2" s="13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6">
        <f t="shared" ref="AH2:AH13" si="2">((J2*K2*2)/645)</f>
        <v>0</v>
      </c>
      <c r="AI2" s="16">
        <f t="shared" ref="AI2:AI13" si="3">(AH2/144)</f>
        <v>0</v>
      </c>
      <c r="AK2" s="17">
        <f t="shared" ref="AK2:AK13" si="4">M2*I2-(O2*26)</f>
        <v>0</v>
      </c>
      <c r="AL2" s="17">
        <f t="shared" ref="AL2:AL13" si="5">P2*0.55</f>
        <v>0</v>
      </c>
      <c r="AM2" s="17">
        <f t="shared" ref="AM2:AM13" si="6">R2*15</f>
        <v>0</v>
      </c>
      <c r="AN2" s="17">
        <f t="shared" ref="AN2:AN13" si="7">(W2+X2+Y2)*10</f>
        <v>0</v>
      </c>
      <c r="AO2" s="18">
        <f t="shared" ref="AO2:AO13" si="8">N2*35*V2</f>
        <v>0</v>
      </c>
      <c r="AP2" s="14"/>
      <c r="AQ2" s="18">
        <f t="shared" ref="AQ2:AQ13" si="9">(N2*50)*Z2</f>
        <v>0</v>
      </c>
      <c r="AR2" s="18">
        <f t="shared" ref="AR2:AR13" si="10">(AI2*17.25)*AA2</f>
        <v>0</v>
      </c>
      <c r="AS2" s="18">
        <f t="shared" ref="AS2:AS13" si="11">(N2*10)*AB2</f>
        <v>0</v>
      </c>
      <c r="AT2" s="17">
        <f t="shared" ref="AT2:AT13" si="12">AC2*((AH2/2)*1.8)</f>
        <v>0</v>
      </c>
      <c r="AU2" s="14"/>
      <c r="AV2" s="19">
        <f>AE2*(AI2*35)</f>
        <v>0</v>
      </c>
      <c r="AW2" s="19">
        <f t="shared" ref="AW2:AW13" si="13">AF2*AI2*15</f>
        <v>0</v>
      </c>
      <c r="AX2" s="19">
        <f t="shared" ref="AX2:AX13" si="14">AG2*(AH2*3.2)</f>
        <v>0</v>
      </c>
      <c r="AY2" s="20">
        <f t="shared" ref="AY2:AY13" si="15">AV2+AU2+AT2+AP2+AO2+AN2+AM2+AL2+AQ2+AR2+AS2+AW2+AX2</f>
        <v>0</v>
      </c>
      <c r="AZ2" s="20">
        <f t="shared" ref="AZ2:AZ13" si="16">T2*U2</f>
        <v>0</v>
      </c>
      <c r="BA2" s="20">
        <f t="shared" ref="BA2:BA13" si="17">(AK2+AZ2+AY2)</f>
        <v>0</v>
      </c>
      <c r="BB2" s="20">
        <f t="shared" ref="BB2:BB13" si="18">(BA2*H2)</f>
        <v>0</v>
      </c>
      <c r="BC2" s="38"/>
      <c r="BD2" s="21">
        <f t="shared" ref="BD2:BD13" si="19">BB2*20%</f>
        <v>0</v>
      </c>
      <c r="BE2" s="21">
        <f t="shared" ref="BE2:BE13" si="20">BB2*5%</f>
        <v>0</v>
      </c>
      <c r="BF2" s="21">
        <f t="shared" ref="BF2:BF13" si="21">BB2*5%</f>
        <v>0</v>
      </c>
      <c r="BG2" s="22">
        <f t="shared" ref="BG2:BG13" si="22">(BF2+BE2+BD2+BC2+BB2)</f>
        <v>0</v>
      </c>
      <c r="BH2" s="8">
        <v>95</v>
      </c>
      <c r="BI2" s="8">
        <v>105</v>
      </c>
      <c r="BJ2" s="9">
        <f t="shared" ref="BJ2:BJ11" si="23">BG2/BH2</f>
        <v>0</v>
      </c>
      <c r="BK2" s="28">
        <f>BG2/BI2</f>
        <v>0</v>
      </c>
      <c r="BL2" s="25">
        <f>SUM(BG2:BG11)</f>
        <v>14722.959424557495</v>
      </c>
      <c r="BM2" s="27"/>
    </row>
    <row r="3" spans="1:110" s="13" customFormat="1" ht="109.5" customHeight="1">
      <c r="A3" s="13">
        <v>1.1000000000000001</v>
      </c>
      <c r="B3" s="13" t="s">
        <v>14</v>
      </c>
      <c r="D3" s="13" t="s">
        <v>15</v>
      </c>
      <c r="E3" s="13" t="s">
        <v>4</v>
      </c>
      <c r="F3" s="13" t="s">
        <v>5</v>
      </c>
      <c r="G3" s="14" t="s">
        <v>6</v>
      </c>
      <c r="H3" s="4">
        <v>1</v>
      </c>
      <c r="I3" s="15">
        <v>85</v>
      </c>
      <c r="J3" s="13">
        <v>0</v>
      </c>
      <c r="K3" s="13">
        <v>0</v>
      </c>
      <c r="L3" s="13">
        <v>0</v>
      </c>
      <c r="M3" s="16">
        <f t="shared" si="0"/>
        <v>0</v>
      </c>
      <c r="N3" s="13">
        <v>0</v>
      </c>
      <c r="O3" s="16">
        <f t="shared" si="1"/>
        <v>0</v>
      </c>
      <c r="P3" s="13">
        <v>0</v>
      </c>
      <c r="Q3" s="14">
        <v>0</v>
      </c>
      <c r="R3" s="13">
        <v>0</v>
      </c>
      <c r="S3" s="3">
        <v>0</v>
      </c>
      <c r="T3" s="14">
        <v>0</v>
      </c>
      <c r="U3" s="14">
        <v>0</v>
      </c>
      <c r="V3" s="13">
        <v>1</v>
      </c>
      <c r="W3" s="13">
        <v>0</v>
      </c>
      <c r="X3" s="13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1</v>
      </c>
      <c r="AF3" s="14">
        <v>0</v>
      </c>
      <c r="AG3" s="14">
        <v>0</v>
      </c>
      <c r="AH3" s="16">
        <f t="shared" si="2"/>
        <v>0</v>
      </c>
      <c r="AI3" s="16">
        <f t="shared" si="3"/>
        <v>0</v>
      </c>
      <c r="AK3" s="17">
        <f t="shared" si="4"/>
        <v>0</v>
      </c>
      <c r="AL3" s="17">
        <f t="shared" si="5"/>
        <v>0</v>
      </c>
      <c r="AM3" s="17">
        <f t="shared" si="6"/>
        <v>0</v>
      </c>
      <c r="AN3" s="17">
        <f t="shared" si="7"/>
        <v>0</v>
      </c>
      <c r="AO3" s="18">
        <f t="shared" si="8"/>
        <v>0</v>
      </c>
      <c r="AP3" s="14"/>
      <c r="AQ3" s="18">
        <f t="shared" si="9"/>
        <v>0</v>
      </c>
      <c r="AR3" s="18">
        <f t="shared" si="10"/>
        <v>0</v>
      </c>
      <c r="AS3" s="18">
        <f t="shared" si="11"/>
        <v>0</v>
      </c>
      <c r="AT3" s="17">
        <f t="shared" si="12"/>
        <v>0</v>
      </c>
      <c r="AU3" s="14"/>
      <c r="AV3" s="19">
        <f t="shared" ref="AV3:AV13" si="24">AE3*(AI3*35)</f>
        <v>0</v>
      </c>
      <c r="AW3" s="19">
        <f t="shared" si="13"/>
        <v>0</v>
      </c>
      <c r="AX3" s="19">
        <f t="shared" si="14"/>
        <v>0</v>
      </c>
      <c r="AY3" s="20">
        <f t="shared" si="15"/>
        <v>0</v>
      </c>
      <c r="AZ3" s="20">
        <f t="shared" si="16"/>
        <v>0</v>
      </c>
      <c r="BA3" s="20">
        <f t="shared" si="17"/>
        <v>0</v>
      </c>
      <c r="BB3" s="20">
        <f t="shared" si="18"/>
        <v>0</v>
      </c>
      <c r="BC3" s="38"/>
      <c r="BD3" s="21">
        <f t="shared" si="19"/>
        <v>0</v>
      </c>
      <c r="BE3" s="21">
        <f t="shared" si="20"/>
        <v>0</v>
      </c>
      <c r="BF3" s="21">
        <f t="shared" si="21"/>
        <v>0</v>
      </c>
      <c r="BG3" s="22">
        <f t="shared" si="22"/>
        <v>0</v>
      </c>
      <c r="BH3" s="8">
        <v>95</v>
      </c>
      <c r="BI3" s="8">
        <v>105</v>
      </c>
      <c r="BJ3" s="9">
        <f t="shared" si="23"/>
        <v>0</v>
      </c>
      <c r="BK3" s="28">
        <f t="shared" ref="BK3:BK13" si="25">BG3/BI3</f>
        <v>0</v>
      </c>
      <c r="BL3" s="24"/>
    </row>
    <row r="4" spans="1:110" s="13" customFormat="1" ht="109.5" customHeight="1">
      <c r="A4" s="13" t="s">
        <v>26</v>
      </c>
      <c r="E4" s="13" t="s">
        <v>4</v>
      </c>
      <c r="F4" s="13" t="s">
        <v>5</v>
      </c>
      <c r="G4" s="14" t="s">
        <v>6</v>
      </c>
      <c r="H4" s="4">
        <v>1</v>
      </c>
      <c r="I4" s="15">
        <v>85</v>
      </c>
      <c r="J4" s="13">
        <v>850</v>
      </c>
      <c r="K4" s="13">
        <v>285.5</v>
      </c>
      <c r="L4" s="13">
        <v>1.6</v>
      </c>
      <c r="M4" s="16">
        <f t="shared" si="0"/>
        <v>3.0479980000000002</v>
      </c>
      <c r="N4" s="13">
        <v>3</v>
      </c>
      <c r="O4" s="16">
        <f t="shared" si="1"/>
        <v>4.7998000000000207E-2</v>
      </c>
      <c r="P4" s="13">
        <v>20</v>
      </c>
      <c r="Q4" s="14">
        <v>0</v>
      </c>
      <c r="R4" s="13">
        <v>1</v>
      </c>
      <c r="S4" s="3">
        <v>0</v>
      </c>
      <c r="T4" s="14">
        <v>0</v>
      </c>
      <c r="U4" s="14">
        <v>0</v>
      </c>
      <c r="V4" s="13">
        <v>1</v>
      </c>
      <c r="W4" s="13">
        <v>0</v>
      </c>
      <c r="X4" s="13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1</v>
      </c>
      <c r="AF4" s="14">
        <v>0</v>
      </c>
      <c r="AG4" s="14">
        <v>0</v>
      </c>
      <c r="AH4" s="16">
        <f t="shared" si="2"/>
        <v>752.48062015503876</v>
      </c>
      <c r="AI4" s="16">
        <f t="shared" si="3"/>
        <v>5.2255598621877688</v>
      </c>
      <c r="AK4" s="17">
        <f>M4*I4-(O4*26)</f>
        <v>257.83188200000001</v>
      </c>
      <c r="AL4" s="17">
        <f>P4*0.55</f>
        <v>11</v>
      </c>
      <c r="AM4" s="17">
        <f t="shared" si="6"/>
        <v>15</v>
      </c>
      <c r="AN4" s="17">
        <f t="shared" si="7"/>
        <v>0</v>
      </c>
      <c r="AO4" s="18">
        <f t="shared" si="8"/>
        <v>105</v>
      </c>
      <c r="AP4" s="14"/>
      <c r="AQ4" s="18">
        <f>(N4*50)*Z4</f>
        <v>0</v>
      </c>
      <c r="AR4" s="18">
        <f t="shared" si="10"/>
        <v>0</v>
      </c>
      <c r="AS4" s="18">
        <f t="shared" si="11"/>
        <v>0</v>
      </c>
      <c r="AT4" s="17">
        <f t="shared" si="12"/>
        <v>0</v>
      </c>
      <c r="AU4" s="14"/>
      <c r="AV4" s="19">
        <f t="shared" si="24"/>
        <v>182.8945951765719</v>
      </c>
      <c r="AW4" s="19">
        <f t="shared" si="13"/>
        <v>0</v>
      </c>
      <c r="AX4" s="19">
        <f t="shared" si="14"/>
        <v>0</v>
      </c>
      <c r="AY4" s="20">
        <f t="shared" si="15"/>
        <v>313.8945951765719</v>
      </c>
      <c r="AZ4" s="20">
        <f t="shared" si="16"/>
        <v>0</v>
      </c>
      <c r="BA4" s="20">
        <f t="shared" si="17"/>
        <v>571.72647717657196</v>
      </c>
      <c r="BB4" s="20">
        <f t="shared" si="18"/>
        <v>571.72647717657196</v>
      </c>
      <c r="BC4" s="38"/>
      <c r="BD4" s="21">
        <f t="shared" si="19"/>
        <v>114.3452954353144</v>
      </c>
      <c r="BE4" s="21">
        <f t="shared" si="20"/>
        <v>28.586323858828599</v>
      </c>
      <c r="BF4" s="21">
        <f t="shared" si="21"/>
        <v>28.586323858828599</v>
      </c>
      <c r="BG4" s="22">
        <f t="shared" si="22"/>
        <v>743.24442032954357</v>
      </c>
      <c r="BH4" s="8">
        <v>95</v>
      </c>
      <c r="BI4" s="8">
        <v>105</v>
      </c>
      <c r="BJ4" s="9">
        <f t="shared" si="23"/>
        <v>7.8236254771530902</v>
      </c>
      <c r="BK4" s="28">
        <f t="shared" si="25"/>
        <v>7.0785182888527958</v>
      </c>
      <c r="BL4" s="24"/>
    </row>
    <row r="5" spans="1:110" s="13" customFormat="1" ht="109.5" customHeight="1">
      <c r="A5" s="13" t="s">
        <v>27</v>
      </c>
      <c r="E5" s="13" t="s">
        <v>4</v>
      </c>
      <c r="F5" s="13" t="s">
        <v>5</v>
      </c>
      <c r="G5" s="14" t="s">
        <v>6</v>
      </c>
      <c r="H5" s="4">
        <v>1</v>
      </c>
      <c r="I5" s="15">
        <v>85</v>
      </c>
      <c r="J5" s="13">
        <v>784</v>
      </c>
      <c r="K5" s="13">
        <v>205</v>
      </c>
      <c r="L5" s="13">
        <v>1.6</v>
      </c>
      <c r="M5" s="16">
        <f t="shared" si="0"/>
        <v>2.0186432000000001</v>
      </c>
      <c r="N5" s="13">
        <v>1.8</v>
      </c>
      <c r="O5" s="16">
        <f t="shared" si="1"/>
        <v>0.21864320000000004</v>
      </c>
      <c r="P5" s="13">
        <v>15</v>
      </c>
      <c r="Q5" s="14">
        <v>0</v>
      </c>
      <c r="R5" s="13">
        <v>0</v>
      </c>
      <c r="S5" s="3">
        <v>0</v>
      </c>
      <c r="T5" s="14">
        <v>0</v>
      </c>
      <c r="U5" s="14">
        <v>0</v>
      </c>
      <c r="V5" s="13">
        <v>1</v>
      </c>
      <c r="W5" s="13">
        <v>0</v>
      </c>
      <c r="X5" s="13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1</v>
      </c>
      <c r="AF5" s="14">
        <v>0</v>
      </c>
      <c r="AG5" s="14">
        <v>0</v>
      </c>
      <c r="AH5" s="16">
        <f t="shared" si="2"/>
        <v>498.3565891472868</v>
      </c>
      <c r="AI5" s="16">
        <f t="shared" si="3"/>
        <v>3.4608096468561582</v>
      </c>
      <c r="AK5" s="17">
        <f t="shared" si="4"/>
        <v>165.8999488</v>
      </c>
      <c r="AL5" s="17">
        <f t="shared" si="5"/>
        <v>8.25</v>
      </c>
      <c r="AM5" s="17">
        <f t="shared" si="6"/>
        <v>0</v>
      </c>
      <c r="AN5" s="17">
        <f t="shared" si="7"/>
        <v>0</v>
      </c>
      <c r="AO5" s="18">
        <f t="shared" si="8"/>
        <v>63</v>
      </c>
      <c r="AP5" s="14"/>
      <c r="AQ5" s="18">
        <f t="shared" si="9"/>
        <v>0</v>
      </c>
      <c r="AR5" s="18">
        <f t="shared" si="10"/>
        <v>0</v>
      </c>
      <c r="AS5" s="18">
        <f t="shared" si="11"/>
        <v>0</v>
      </c>
      <c r="AT5" s="17">
        <f t="shared" si="12"/>
        <v>0</v>
      </c>
      <c r="AU5" s="14"/>
      <c r="AV5" s="19">
        <f t="shared" si="24"/>
        <v>121.12833763996554</v>
      </c>
      <c r="AW5" s="19">
        <f t="shared" si="13"/>
        <v>0</v>
      </c>
      <c r="AX5" s="19">
        <f t="shared" si="14"/>
        <v>0</v>
      </c>
      <c r="AY5" s="20">
        <f t="shared" si="15"/>
        <v>192.37833763996554</v>
      </c>
      <c r="AZ5" s="20">
        <f t="shared" si="16"/>
        <v>0</v>
      </c>
      <c r="BA5" s="20">
        <f t="shared" si="17"/>
        <v>358.27828643996554</v>
      </c>
      <c r="BB5" s="20">
        <f t="shared" si="18"/>
        <v>358.27828643996554</v>
      </c>
      <c r="BC5" s="38"/>
      <c r="BD5" s="21">
        <f t="shared" si="19"/>
        <v>71.655657287993108</v>
      </c>
      <c r="BE5" s="21">
        <f t="shared" si="20"/>
        <v>17.913914321998277</v>
      </c>
      <c r="BF5" s="21">
        <f t="shared" si="21"/>
        <v>17.913914321998277</v>
      </c>
      <c r="BG5" s="22">
        <f t="shared" si="22"/>
        <v>465.7617723719552</v>
      </c>
      <c r="BH5" s="8">
        <v>95</v>
      </c>
      <c r="BI5" s="8">
        <v>105</v>
      </c>
      <c r="BJ5" s="9">
        <f t="shared" si="23"/>
        <v>4.9027554986521604</v>
      </c>
      <c r="BK5" s="28">
        <f t="shared" si="25"/>
        <v>4.4358264035424302</v>
      </c>
      <c r="BL5" s="24"/>
    </row>
    <row r="6" spans="1:110" s="13" customFormat="1" ht="109.5" customHeight="1">
      <c r="A6" s="13">
        <v>1.2</v>
      </c>
      <c r="B6" s="13" t="s">
        <v>16</v>
      </c>
      <c r="D6" s="26" t="s">
        <v>17</v>
      </c>
      <c r="E6" s="13" t="s">
        <v>4</v>
      </c>
      <c r="F6" s="13" t="s">
        <v>5</v>
      </c>
      <c r="G6" s="14" t="s">
        <v>8</v>
      </c>
      <c r="H6" s="4">
        <v>1</v>
      </c>
      <c r="I6" s="15">
        <v>85</v>
      </c>
      <c r="J6" s="13">
        <v>300</v>
      </c>
      <c r="K6" s="13">
        <v>103.2</v>
      </c>
      <c r="L6" s="13">
        <v>1.6</v>
      </c>
      <c r="M6" s="16">
        <f t="shared" si="0"/>
        <v>0.38885759999999997</v>
      </c>
      <c r="N6" s="13">
        <v>0.3</v>
      </c>
      <c r="O6" s="16">
        <f t="shared" si="1"/>
        <v>8.8857599999999981E-2</v>
      </c>
      <c r="P6" s="13">
        <v>10</v>
      </c>
      <c r="Q6" s="14">
        <v>0</v>
      </c>
      <c r="R6" s="13">
        <v>2</v>
      </c>
      <c r="S6" s="3" t="s">
        <v>7</v>
      </c>
      <c r="T6" s="14">
        <v>2</v>
      </c>
      <c r="U6" s="14">
        <v>4</v>
      </c>
      <c r="V6" s="13">
        <v>1</v>
      </c>
      <c r="W6" s="13">
        <v>0</v>
      </c>
      <c r="X6" s="13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1</v>
      </c>
      <c r="AF6" s="14">
        <v>0</v>
      </c>
      <c r="AG6" s="14">
        <v>0</v>
      </c>
      <c r="AH6" s="16">
        <f t="shared" si="2"/>
        <v>96</v>
      </c>
      <c r="AI6" s="16">
        <f t="shared" si="3"/>
        <v>0.66666666666666663</v>
      </c>
      <c r="AK6" s="17">
        <f t="shared" si="4"/>
        <v>30.742598399999999</v>
      </c>
      <c r="AL6" s="17">
        <f t="shared" si="5"/>
        <v>5.5</v>
      </c>
      <c r="AM6" s="17">
        <f t="shared" si="6"/>
        <v>30</v>
      </c>
      <c r="AN6" s="17">
        <f t="shared" si="7"/>
        <v>0</v>
      </c>
      <c r="AO6" s="18">
        <f t="shared" si="8"/>
        <v>10.5</v>
      </c>
      <c r="AP6" s="14"/>
      <c r="AQ6" s="18">
        <f t="shared" si="9"/>
        <v>0</v>
      </c>
      <c r="AR6" s="18">
        <f t="shared" si="10"/>
        <v>0</v>
      </c>
      <c r="AS6" s="18">
        <f t="shared" si="11"/>
        <v>0</v>
      </c>
      <c r="AT6" s="17">
        <f t="shared" si="12"/>
        <v>0</v>
      </c>
      <c r="AU6" s="14"/>
      <c r="AV6" s="19">
        <f t="shared" si="24"/>
        <v>23.333333333333332</v>
      </c>
      <c r="AW6" s="19">
        <f t="shared" si="13"/>
        <v>0</v>
      </c>
      <c r="AX6" s="19">
        <f t="shared" si="14"/>
        <v>0</v>
      </c>
      <c r="AY6" s="20">
        <f t="shared" si="15"/>
        <v>69.333333333333329</v>
      </c>
      <c r="AZ6" s="20">
        <f t="shared" si="16"/>
        <v>8</v>
      </c>
      <c r="BA6" s="20">
        <f t="shared" si="17"/>
        <v>108.07593173333333</v>
      </c>
      <c r="BB6" s="20">
        <f t="shared" si="18"/>
        <v>108.07593173333333</v>
      </c>
      <c r="BC6" s="38"/>
      <c r="BD6" s="21">
        <f t="shared" si="19"/>
        <v>21.615186346666668</v>
      </c>
      <c r="BE6" s="21">
        <f t="shared" si="20"/>
        <v>5.4037965866666671</v>
      </c>
      <c r="BF6" s="21">
        <f t="shared" si="21"/>
        <v>5.4037965866666671</v>
      </c>
      <c r="BG6" s="22">
        <f t="shared" si="22"/>
        <v>140.49871125333334</v>
      </c>
      <c r="BH6" s="8">
        <v>95</v>
      </c>
      <c r="BI6" s="8">
        <v>105</v>
      </c>
      <c r="BJ6" s="9">
        <f t="shared" si="23"/>
        <v>1.4789338026666667</v>
      </c>
      <c r="BK6" s="28">
        <f t="shared" si="25"/>
        <v>1.3380829643174603</v>
      </c>
      <c r="BL6" s="24"/>
    </row>
    <row r="7" spans="1:110" s="13" customFormat="1" ht="109.5" customHeight="1">
      <c r="A7" s="13">
        <v>1.3</v>
      </c>
      <c r="B7" s="13" t="s">
        <v>19</v>
      </c>
      <c r="D7" s="13" t="s">
        <v>20</v>
      </c>
      <c r="E7" s="13" t="s">
        <v>4</v>
      </c>
      <c r="F7" s="13" t="s">
        <v>5</v>
      </c>
      <c r="G7" s="14" t="s">
        <v>6</v>
      </c>
      <c r="H7" s="4">
        <v>1</v>
      </c>
      <c r="I7" s="15">
        <v>85</v>
      </c>
      <c r="J7" s="13">
        <v>1532.2</v>
      </c>
      <c r="K7" s="13">
        <v>824.5</v>
      </c>
      <c r="L7" s="13">
        <v>1.6</v>
      </c>
      <c r="M7" s="16">
        <f t="shared" si="0"/>
        <v>15.867034184</v>
      </c>
      <c r="N7" s="13">
        <v>13.9</v>
      </c>
      <c r="O7" s="16">
        <f t="shared" si="1"/>
        <v>1.9670341839999992</v>
      </c>
      <c r="P7" s="13">
        <v>67</v>
      </c>
      <c r="Q7" s="14">
        <v>0</v>
      </c>
      <c r="R7" s="13">
        <v>6</v>
      </c>
      <c r="S7" s="3" t="s">
        <v>7</v>
      </c>
      <c r="T7" s="14">
        <v>12</v>
      </c>
      <c r="U7" s="14">
        <v>4</v>
      </c>
      <c r="V7" s="13">
        <v>1</v>
      </c>
      <c r="W7" s="13">
        <v>0</v>
      </c>
      <c r="X7" s="13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1</v>
      </c>
      <c r="AF7" s="14">
        <v>0</v>
      </c>
      <c r="AG7" s="14">
        <v>0</v>
      </c>
      <c r="AH7" s="16">
        <f t="shared" si="2"/>
        <v>3917.2058914728686</v>
      </c>
      <c r="AI7" s="16">
        <f t="shared" si="3"/>
        <v>27.202818690783811</v>
      </c>
      <c r="AK7" s="17">
        <f t="shared" si="4"/>
        <v>1297.5550168560001</v>
      </c>
      <c r="AL7" s="17">
        <f t="shared" si="5"/>
        <v>36.85</v>
      </c>
      <c r="AM7" s="17">
        <f t="shared" si="6"/>
        <v>90</v>
      </c>
      <c r="AN7" s="17">
        <f t="shared" si="7"/>
        <v>0</v>
      </c>
      <c r="AO7" s="18">
        <f t="shared" si="8"/>
        <v>486.5</v>
      </c>
      <c r="AP7" s="14"/>
      <c r="AQ7" s="18">
        <f t="shared" si="9"/>
        <v>0</v>
      </c>
      <c r="AR7" s="18">
        <f t="shared" si="10"/>
        <v>0</v>
      </c>
      <c r="AS7" s="18">
        <f t="shared" si="11"/>
        <v>0</v>
      </c>
      <c r="AT7" s="17">
        <f t="shared" si="12"/>
        <v>0</v>
      </c>
      <c r="AU7" s="14"/>
      <c r="AV7" s="19">
        <f t="shared" si="24"/>
        <v>952.09865417743345</v>
      </c>
      <c r="AW7" s="19">
        <f t="shared" si="13"/>
        <v>0</v>
      </c>
      <c r="AX7" s="19">
        <f t="shared" si="14"/>
        <v>0</v>
      </c>
      <c r="AY7" s="20">
        <f t="shared" si="15"/>
        <v>1565.4486541774334</v>
      </c>
      <c r="AZ7" s="20">
        <f t="shared" si="16"/>
        <v>48</v>
      </c>
      <c r="BA7" s="20">
        <f t="shared" si="17"/>
        <v>2911.0036710334334</v>
      </c>
      <c r="BB7" s="20">
        <f t="shared" si="18"/>
        <v>2911.0036710334334</v>
      </c>
      <c r="BC7" s="38"/>
      <c r="BD7" s="21">
        <f t="shared" si="19"/>
        <v>582.20073420668666</v>
      </c>
      <c r="BE7" s="21">
        <f t="shared" si="20"/>
        <v>145.55018355167167</v>
      </c>
      <c r="BF7" s="21">
        <f t="shared" si="21"/>
        <v>145.55018355167167</v>
      </c>
      <c r="BG7" s="22">
        <f t="shared" si="22"/>
        <v>3784.3047723434634</v>
      </c>
      <c r="BH7" s="8">
        <v>95</v>
      </c>
      <c r="BI7" s="8">
        <v>105</v>
      </c>
      <c r="BJ7" s="9">
        <f t="shared" si="23"/>
        <v>39.834787077299616</v>
      </c>
      <c r="BK7" s="28">
        <f t="shared" si="25"/>
        <v>36.04099783184251</v>
      </c>
      <c r="BL7" s="24"/>
    </row>
    <row r="8" spans="1:110" s="13" customFormat="1" ht="109.5" customHeight="1">
      <c r="A8" s="13">
        <v>1.4</v>
      </c>
      <c r="B8" s="13" t="s">
        <v>21</v>
      </c>
      <c r="D8" s="13" t="s">
        <v>22</v>
      </c>
      <c r="E8" s="13" t="s">
        <v>4</v>
      </c>
      <c r="F8" s="13" t="s">
        <v>5</v>
      </c>
      <c r="G8" s="14" t="s">
        <v>6</v>
      </c>
      <c r="H8" s="4">
        <v>1</v>
      </c>
      <c r="I8" s="15">
        <v>85</v>
      </c>
      <c r="J8" s="13">
        <v>1495</v>
      </c>
      <c r="K8" s="13">
        <v>839.6</v>
      </c>
      <c r="L8" s="13">
        <v>1.6</v>
      </c>
      <c r="M8" s="16">
        <f t="shared" si="0"/>
        <v>15.765337120000002</v>
      </c>
      <c r="N8" s="13">
        <v>15.4</v>
      </c>
      <c r="O8" s="16">
        <f t="shared" si="1"/>
        <v>0.36533712000000129</v>
      </c>
      <c r="P8" s="13">
        <v>58</v>
      </c>
      <c r="Q8" s="14">
        <v>0</v>
      </c>
      <c r="R8" s="13">
        <v>4</v>
      </c>
      <c r="S8" s="3" t="s">
        <v>7</v>
      </c>
      <c r="T8" s="14">
        <v>12</v>
      </c>
      <c r="U8" s="14">
        <v>4</v>
      </c>
      <c r="V8" s="13">
        <v>1</v>
      </c>
      <c r="W8" s="13">
        <v>0</v>
      </c>
      <c r="X8" s="13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1</v>
      </c>
      <c r="AF8" s="14">
        <v>0</v>
      </c>
      <c r="AG8" s="14">
        <v>0</v>
      </c>
      <c r="AH8" s="16">
        <f t="shared" si="2"/>
        <v>3892.0992248062016</v>
      </c>
      <c r="AI8" s="16">
        <f t="shared" si="3"/>
        <v>27.028466838931955</v>
      </c>
      <c r="AK8" s="17">
        <f t="shared" si="4"/>
        <v>1330.55489008</v>
      </c>
      <c r="AL8" s="17">
        <f t="shared" si="5"/>
        <v>31.900000000000002</v>
      </c>
      <c r="AM8" s="17">
        <f t="shared" si="6"/>
        <v>60</v>
      </c>
      <c r="AN8" s="17">
        <f t="shared" si="7"/>
        <v>0</v>
      </c>
      <c r="AO8" s="18">
        <f t="shared" si="8"/>
        <v>539</v>
      </c>
      <c r="AP8" s="14"/>
      <c r="AQ8" s="18">
        <f t="shared" si="9"/>
        <v>0</v>
      </c>
      <c r="AR8" s="18">
        <f t="shared" si="10"/>
        <v>0</v>
      </c>
      <c r="AS8" s="18">
        <f t="shared" si="11"/>
        <v>0</v>
      </c>
      <c r="AT8" s="17">
        <f t="shared" si="12"/>
        <v>0</v>
      </c>
      <c r="AU8" s="14"/>
      <c r="AV8" s="19">
        <f t="shared" si="24"/>
        <v>945.99633936261841</v>
      </c>
      <c r="AW8" s="19">
        <f t="shared" si="13"/>
        <v>0</v>
      </c>
      <c r="AX8" s="19">
        <f t="shared" si="14"/>
        <v>0</v>
      </c>
      <c r="AY8" s="20">
        <f t="shared" si="15"/>
        <v>1576.8963393626186</v>
      </c>
      <c r="AZ8" s="20">
        <f t="shared" si="16"/>
        <v>48</v>
      </c>
      <c r="BA8" s="20">
        <f t="shared" si="17"/>
        <v>2955.4512294426186</v>
      </c>
      <c r="BB8" s="20">
        <f t="shared" si="18"/>
        <v>2955.4512294426186</v>
      </c>
      <c r="BC8" s="38"/>
      <c r="BD8" s="21">
        <f t="shared" si="19"/>
        <v>591.09024588852378</v>
      </c>
      <c r="BE8" s="21">
        <f t="shared" si="20"/>
        <v>147.77256147213095</v>
      </c>
      <c r="BF8" s="21">
        <f t="shared" si="21"/>
        <v>147.77256147213095</v>
      </c>
      <c r="BG8" s="22">
        <f t="shared" si="22"/>
        <v>3842.086598275404</v>
      </c>
      <c r="BH8" s="8">
        <v>95</v>
      </c>
      <c r="BI8" s="8">
        <v>105</v>
      </c>
      <c r="BJ8" s="9">
        <f t="shared" si="23"/>
        <v>40.443016823951623</v>
      </c>
      <c r="BK8" s="28">
        <f t="shared" si="25"/>
        <v>36.591300935956227</v>
      </c>
      <c r="BL8" s="24"/>
    </row>
    <row r="9" spans="1:110" s="13" customFormat="1" ht="109.5" customHeight="1">
      <c r="A9" s="13" t="s">
        <v>28</v>
      </c>
      <c r="E9" s="13" t="s">
        <v>23</v>
      </c>
      <c r="F9" s="13" t="s">
        <v>18</v>
      </c>
      <c r="G9" s="14" t="s">
        <v>6</v>
      </c>
      <c r="H9" s="4">
        <v>1</v>
      </c>
      <c r="I9" s="15">
        <v>85</v>
      </c>
      <c r="J9" s="13">
        <v>756.5</v>
      </c>
      <c r="K9" s="13">
        <v>70</v>
      </c>
      <c r="L9" s="13">
        <v>6</v>
      </c>
      <c r="M9" s="16">
        <f t="shared" si="0"/>
        <v>2.4941805000000001</v>
      </c>
      <c r="N9" s="13">
        <v>2.4900000000000002</v>
      </c>
      <c r="O9" s="16">
        <f t="shared" si="1"/>
        <v>4.1804999999999204E-3</v>
      </c>
      <c r="P9" s="13">
        <v>18</v>
      </c>
      <c r="Q9" s="14">
        <v>0</v>
      </c>
      <c r="R9" s="13">
        <v>2</v>
      </c>
      <c r="S9" s="3">
        <v>0</v>
      </c>
      <c r="T9" s="14">
        <v>0</v>
      </c>
      <c r="U9" s="14">
        <v>0</v>
      </c>
      <c r="V9" s="13">
        <v>1</v>
      </c>
      <c r="W9" s="13">
        <v>0</v>
      </c>
      <c r="X9" s="13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1</v>
      </c>
      <c r="AF9" s="14">
        <v>0</v>
      </c>
      <c r="AG9" s="14">
        <v>0</v>
      </c>
      <c r="AH9" s="16">
        <f t="shared" si="2"/>
        <v>164.20155038759691</v>
      </c>
      <c r="AI9" s="16">
        <f t="shared" si="3"/>
        <v>1.140288544358312</v>
      </c>
      <c r="AK9" s="17">
        <f t="shared" si="4"/>
        <v>211.89664950000002</v>
      </c>
      <c r="AL9" s="17">
        <f t="shared" si="5"/>
        <v>9.9</v>
      </c>
      <c r="AM9" s="17">
        <f t="shared" si="6"/>
        <v>30</v>
      </c>
      <c r="AN9" s="17">
        <f t="shared" si="7"/>
        <v>0</v>
      </c>
      <c r="AO9" s="18">
        <f t="shared" si="8"/>
        <v>87.15</v>
      </c>
      <c r="AP9" s="14"/>
      <c r="AQ9" s="18">
        <f t="shared" si="9"/>
        <v>0</v>
      </c>
      <c r="AR9" s="18">
        <f t="shared" si="10"/>
        <v>0</v>
      </c>
      <c r="AS9" s="18">
        <f t="shared" si="11"/>
        <v>0</v>
      </c>
      <c r="AT9" s="17">
        <f t="shared" si="12"/>
        <v>0</v>
      </c>
      <c r="AU9" s="14"/>
      <c r="AV9" s="19">
        <f t="shared" si="24"/>
        <v>39.910099052540922</v>
      </c>
      <c r="AW9" s="19">
        <f t="shared" si="13"/>
        <v>0</v>
      </c>
      <c r="AX9" s="19">
        <f t="shared" si="14"/>
        <v>0</v>
      </c>
      <c r="AY9" s="20">
        <f t="shared" si="15"/>
        <v>166.96009905254093</v>
      </c>
      <c r="AZ9" s="20">
        <f t="shared" si="16"/>
        <v>0</v>
      </c>
      <c r="BA9" s="20">
        <f t="shared" si="17"/>
        <v>378.85674855254092</v>
      </c>
      <c r="BB9" s="20">
        <f t="shared" si="18"/>
        <v>378.85674855254092</v>
      </c>
      <c r="BC9" s="38"/>
      <c r="BD9" s="21">
        <f t="shared" si="19"/>
        <v>75.77134971050819</v>
      </c>
      <c r="BE9" s="21">
        <f t="shared" si="20"/>
        <v>18.942837427627047</v>
      </c>
      <c r="BF9" s="21">
        <f t="shared" si="21"/>
        <v>18.942837427627047</v>
      </c>
      <c r="BG9" s="22">
        <f t="shared" si="22"/>
        <v>492.51377311830322</v>
      </c>
      <c r="BH9" s="8">
        <v>95</v>
      </c>
      <c r="BI9" s="8">
        <v>105</v>
      </c>
      <c r="BJ9" s="9">
        <f t="shared" si="23"/>
        <v>5.1843555065084548</v>
      </c>
      <c r="BK9" s="28">
        <f t="shared" si="25"/>
        <v>4.6906073630314591</v>
      </c>
      <c r="BL9" s="24"/>
    </row>
    <row r="10" spans="1:110" s="13" customFormat="1" ht="109.5" customHeight="1">
      <c r="A10" s="13">
        <v>1.5</v>
      </c>
      <c r="B10" s="13" t="s">
        <v>24</v>
      </c>
      <c r="D10" s="13" t="s">
        <v>25</v>
      </c>
      <c r="E10" s="13" t="s">
        <v>4</v>
      </c>
      <c r="F10" s="13" t="s">
        <v>5</v>
      </c>
      <c r="G10" s="14" t="s">
        <v>6</v>
      </c>
      <c r="H10" s="4">
        <v>1</v>
      </c>
      <c r="I10" s="15">
        <v>85</v>
      </c>
      <c r="J10" s="13">
        <v>1942.2</v>
      </c>
      <c r="K10" s="13">
        <v>834.5</v>
      </c>
      <c r="L10" s="13">
        <v>1.6</v>
      </c>
      <c r="M10" s="16">
        <f t="shared" si="0"/>
        <v>20.356819703999999</v>
      </c>
      <c r="N10" s="13">
        <v>18.5</v>
      </c>
      <c r="O10" s="16">
        <f t="shared" si="1"/>
        <v>1.8568197039999994</v>
      </c>
      <c r="P10" s="13">
        <v>62</v>
      </c>
      <c r="Q10" s="14">
        <v>0</v>
      </c>
      <c r="R10" s="13">
        <v>4</v>
      </c>
      <c r="S10" s="3" t="s">
        <v>7</v>
      </c>
      <c r="T10" s="14">
        <v>9</v>
      </c>
      <c r="U10" s="14">
        <v>4</v>
      </c>
      <c r="V10" s="13">
        <v>1</v>
      </c>
      <c r="W10" s="13">
        <v>0</v>
      </c>
      <c r="X10" s="13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1</v>
      </c>
      <c r="AF10" s="14">
        <v>0</v>
      </c>
      <c r="AG10" s="14">
        <v>0</v>
      </c>
      <c r="AH10" s="16">
        <f t="shared" si="2"/>
        <v>5025.630697674419</v>
      </c>
      <c r="AI10" s="16">
        <f t="shared" si="3"/>
        <v>34.900213178294578</v>
      </c>
      <c r="AK10" s="17">
        <f t="shared" si="4"/>
        <v>1682.0523625360001</v>
      </c>
      <c r="AL10" s="17">
        <f t="shared" si="5"/>
        <v>34.1</v>
      </c>
      <c r="AM10" s="17">
        <f t="shared" si="6"/>
        <v>60</v>
      </c>
      <c r="AN10" s="17">
        <f t="shared" si="7"/>
        <v>0</v>
      </c>
      <c r="AO10" s="18">
        <f t="shared" si="8"/>
        <v>647.5</v>
      </c>
      <c r="AP10" s="14"/>
      <c r="AQ10" s="18">
        <f t="shared" si="9"/>
        <v>0</v>
      </c>
      <c r="AR10" s="18">
        <f t="shared" si="10"/>
        <v>0</v>
      </c>
      <c r="AS10" s="18">
        <f t="shared" si="11"/>
        <v>0</v>
      </c>
      <c r="AT10" s="17">
        <f t="shared" si="12"/>
        <v>0</v>
      </c>
      <c r="AU10" s="14"/>
      <c r="AV10" s="19">
        <f t="shared" si="24"/>
        <v>1221.5074612403102</v>
      </c>
      <c r="AW10" s="19">
        <f t="shared" si="13"/>
        <v>0</v>
      </c>
      <c r="AX10" s="19">
        <f t="shared" si="14"/>
        <v>0</v>
      </c>
      <c r="AY10" s="20">
        <f t="shared" si="15"/>
        <v>1963.1074612403102</v>
      </c>
      <c r="AZ10" s="20">
        <f t="shared" si="16"/>
        <v>36</v>
      </c>
      <c r="BA10" s="20">
        <f t="shared" si="17"/>
        <v>3681.1598237763101</v>
      </c>
      <c r="BB10" s="20">
        <f t="shared" si="18"/>
        <v>3681.1598237763101</v>
      </c>
      <c r="BC10" s="38"/>
      <c r="BD10" s="21">
        <f t="shared" si="19"/>
        <v>736.23196475526208</v>
      </c>
      <c r="BE10" s="21">
        <f t="shared" si="20"/>
        <v>184.05799118881552</v>
      </c>
      <c r="BF10" s="21">
        <f t="shared" si="21"/>
        <v>184.05799118881552</v>
      </c>
      <c r="BG10" s="22">
        <f t="shared" si="22"/>
        <v>4785.5077709092029</v>
      </c>
      <c r="BH10" s="8">
        <v>95</v>
      </c>
      <c r="BI10" s="8">
        <v>105</v>
      </c>
      <c r="BJ10" s="9">
        <f t="shared" si="23"/>
        <v>50.373766009570559</v>
      </c>
      <c r="BK10" s="28">
        <f t="shared" si="25"/>
        <v>45.576264484849553</v>
      </c>
      <c r="BL10" s="24"/>
    </row>
    <row r="11" spans="1:110" s="13" customFormat="1" ht="109.5" customHeight="1">
      <c r="A11" s="13" t="s">
        <v>29</v>
      </c>
      <c r="E11" s="13" t="s">
        <v>23</v>
      </c>
      <c r="F11" s="13" t="s">
        <v>18</v>
      </c>
      <c r="G11" s="14" t="s">
        <v>6</v>
      </c>
      <c r="H11" s="4">
        <v>1</v>
      </c>
      <c r="I11" s="15">
        <v>85</v>
      </c>
      <c r="J11" s="13">
        <v>747.5</v>
      </c>
      <c r="K11" s="13">
        <v>70</v>
      </c>
      <c r="L11" s="13">
        <v>6</v>
      </c>
      <c r="M11" s="16">
        <f t="shared" si="0"/>
        <v>2.4645074999999999</v>
      </c>
      <c r="N11" s="13">
        <v>2.46</v>
      </c>
      <c r="O11" s="16">
        <f t="shared" si="1"/>
        <v>4.5074999999998866E-3</v>
      </c>
      <c r="P11" s="13">
        <v>18</v>
      </c>
      <c r="Q11" s="14">
        <v>0</v>
      </c>
      <c r="S11" s="3" t="s">
        <v>9</v>
      </c>
      <c r="T11" s="14">
        <v>4</v>
      </c>
      <c r="U11" s="14">
        <v>4</v>
      </c>
      <c r="V11" s="13">
        <v>1</v>
      </c>
      <c r="W11" s="13">
        <v>0</v>
      </c>
      <c r="X11" s="13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1</v>
      </c>
      <c r="AF11" s="14">
        <v>0</v>
      </c>
      <c r="AG11" s="14">
        <v>0</v>
      </c>
      <c r="AH11" s="16">
        <f t="shared" si="2"/>
        <v>162.24806201550388</v>
      </c>
      <c r="AI11" s="16">
        <f t="shared" si="3"/>
        <v>1.1267226528854435</v>
      </c>
      <c r="AK11" s="17">
        <f t="shared" si="4"/>
        <v>209.36594249999999</v>
      </c>
      <c r="AL11" s="17">
        <f t="shared" si="5"/>
        <v>9.9</v>
      </c>
      <c r="AM11" s="17">
        <f t="shared" si="6"/>
        <v>0</v>
      </c>
      <c r="AN11" s="17">
        <f t="shared" si="7"/>
        <v>0</v>
      </c>
      <c r="AO11" s="18">
        <f t="shared" si="8"/>
        <v>86.1</v>
      </c>
      <c r="AP11" s="14"/>
      <c r="AQ11" s="18">
        <f t="shared" si="9"/>
        <v>0</v>
      </c>
      <c r="AR11" s="18">
        <f t="shared" si="10"/>
        <v>0</v>
      </c>
      <c r="AS11" s="18">
        <f t="shared" si="11"/>
        <v>0</v>
      </c>
      <c r="AT11" s="17">
        <f t="shared" si="12"/>
        <v>0</v>
      </c>
      <c r="AU11" s="14"/>
      <c r="AV11" s="19">
        <f t="shared" si="24"/>
        <v>39.435292850990521</v>
      </c>
      <c r="AW11" s="19">
        <f t="shared" si="13"/>
        <v>0</v>
      </c>
      <c r="AX11" s="19">
        <f t="shared" si="14"/>
        <v>0</v>
      </c>
      <c r="AY11" s="20">
        <f t="shared" si="15"/>
        <v>135.43529285099052</v>
      </c>
      <c r="AZ11" s="20">
        <f t="shared" si="16"/>
        <v>16</v>
      </c>
      <c r="BA11" s="20">
        <f t="shared" si="17"/>
        <v>360.80123535099051</v>
      </c>
      <c r="BB11" s="20">
        <f t="shared" si="18"/>
        <v>360.80123535099051</v>
      </c>
      <c r="BC11" s="38"/>
      <c r="BD11" s="21">
        <f t="shared" si="19"/>
        <v>72.16024707019811</v>
      </c>
      <c r="BE11" s="21">
        <f t="shared" si="20"/>
        <v>18.040061767549528</v>
      </c>
      <c r="BF11" s="21">
        <f t="shared" si="21"/>
        <v>18.040061767549528</v>
      </c>
      <c r="BG11" s="22">
        <f t="shared" si="22"/>
        <v>469.04160595628764</v>
      </c>
      <c r="BH11" s="8">
        <v>95</v>
      </c>
      <c r="BI11" s="8">
        <v>105</v>
      </c>
      <c r="BJ11" s="9">
        <f t="shared" si="23"/>
        <v>4.9372800626977646</v>
      </c>
      <c r="BK11" s="28">
        <f t="shared" si="25"/>
        <v>4.4670629138694062</v>
      </c>
      <c r="BL11" s="24"/>
    </row>
    <row r="12" spans="1:110" s="13" customFormat="1" ht="109.5" customHeight="1">
      <c r="G12" s="14"/>
      <c r="H12" s="4"/>
      <c r="I12" s="15"/>
      <c r="M12" s="16"/>
      <c r="O12" s="16"/>
      <c r="Q12" s="14"/>
      <c r="S12" s="3"/>
      <c r="T12" s="14"/>
      <c r="U12" s="14"/>
      <c r="Y12" s="14"/>
      <c r="Z12" s="14"/>
      <c r="AA12" s="14"/>
      <c r="AB12" s="14"/>
      <c r="AC12" s="14"/>
      <c r="AD12" s="14"/>
      <c r="AE12" s="14"/>
      <c r="AF12" s="14"/>
      <c r="AG12" s="14"/>
      <c r="AH12" s="16"/>
      <c r="AI12" s="16"/>
      <c r="AK12" s="17"/>
      <c r="AL12" s="17"/>
      <c r="AM12" s="17"/>
      <c r="AN12" s="17"/>
      <c r="AO12" s="18"/>
      <c r="AP12" s="14"/>
      <c r="AQ12" s="18"/>
      <c r="AR12" s="18"/>
      <c r="AS12" s="18"/>
      <c r="AT12" s="17"/>
      <c r="AU12" s="14"/>
      <c r="AV12" s="19"/>
      <c r="AW12" s="19"/>
      <c r="AX12" s="19"/>
      <c r="AY12" s="20"/>
      <c r="AZ12" s="20"/>
      <c r="BA12" s="20"/>
      <c r="BB12" s="20"/>
      <c r="BC12" s="38"/>
      <c r="BD12" s="21"/>
      <c r="BE12" s="21"/>
      <c r="BF12" s="21"/>
      <c r="BG12" s="22">
        <f>SUM(BG2:BG11)</f>
        <v>14722.959424557495</v>
      </c>
      <c r="BH12" s="22"/>
      <c r="BI12" s="22"/>
      <c r="BJ12" s="34">
        <f>SUM(BJ2:BJ11)</f>
        <v>154.97852025849994</v>
      </c>
      <c r="BK12" s="35">
        <f>SUM(BK2:BK11)</f>
        <v>140.21866118626184</v>
      </c>
      <c r="BL12" s="24"/>
    </row>
    <row r="13" spans="1:110" s="13" customFormat="1" ht="109.5" customHeight="1">
      <c r="A13" s="13">
        <v>2</v>
      </c>
      <c r="B13" s="13" t="s">
        <v>10</v>
      </c>
      <c r="D13" s="13" t="s">
        <v>11</v>
      </c>
      <c r="E13" s="13" t="s">
        <v>4</v>
      </c>
      <c r="F13" s="13" t="s">
        <v>5</v>
      </c>
      <c r="G13" s="14" t="s">
        <v>6</v>
      </c>
      <c r="H13" s="4">
        <v>1</v>
      </c>
      <c r="I13" s="15">
        <v>85</v>
      </c>
      <c r="J13" s="13">
        <v>1075</v>
      </c>
      <c r="K13" s="13">
        <v>736.4</v>
      </c>
      <c r="L13" s="13">
        <v>1.6</v>
      </c>
      <c r="M13" s="16">
        <f t="shared" si="0"/>
        <v>9.9428727999999982</v>
      </c>
      <c r="N13" s="13">
        <v>9.1999999999999993</v>
      </c>
      <c r="O13" s="16">
        <f t="shared" si="1"/>
        <v>0.74287279999999889</v>
      </c>
      <c r="P13" s="13">
        <v>64</v>
      </c>
      <c r="Q13" s="14">
        <v>0</v>
      </c>
      <c r="R13" s="13">
        <v>5</v>
      </c>
      <c r="S13" s="3">
        <v>0</v>
      </c>
      <c r="T13" s="14">
        <v>0</v>
      </c>
      <c r="U13" s="14">
        <v>0</v>
      </c>
      <c r="V13" s="13">
        <v>1</v>
      </c>
      <c r="W13" s="13">
        <v>0</v>
      </c>
      <c r="X13" s="13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1</v>
      </c>
      <c r="AF13" s="14">
        <v>0</v>
      </c>
      <c r="AG13" s="14">
        <v>0</v>
      </c>
      <c r="AH13" s="16">
        <f t="shared" si="2"/>
        <v>2454.6666666666665</v>
      </c>
      <c r="AI13" s="16">
        <f t="shared" si="3"/>
        <v>17.046296296296294</v>
      </c>
      <c r="AK13" s="17">
        <f t="shared" si="4"/>
        <v>825.82949519999988</v>
      </c>
      <c r="AL13" s="17">
        <f t="shared" si="5"/>
        <v>35.200000000000003</v>
      </c>
      <c r="AM13" s="17">
        <f t="shared" si="6"/>
        <v>75</v>
      </c>
      <c r="AN13" s="17">
        <f t="shared" si="7"/>
        <v>0</v>
      </c>
      <c r="AO13" s="18">
        <f t="shared" si="8"/>
        <v>322</v>
      </c>
      <c r="AP13" s="14"/>
      <c r="AQ13" s="18">
        <f t="shared" si="9"/>
        <v>0</v>
      </c>
      <c r="AR13" s="18">
        <f t="shared" si="10"/>
        <v>0</v>
      </c>
      <c r="AS13" s="18">
        <f t="shared" si="11"/>
        <v>0</v>
      </c>
      <c r="AT13" s="17">
        <f t="shared" si="12"/>
        <v>0</v>
      </c>
      <c r="AU13" s="14"/>
      <c r="AV13" s="19">
        <f t="shared" si="24"/>
        <v>596.62037037037032</v>
      </c>
      <c r="AW13" s="19">
        <f t="shared" si="13"/>
        <v>0</v>
      </c>
      <c r="AX13" s="19">
        <f t="shared" si="14"/>
        <v>0</v>
      </c>
      <c r="AY13" s="20">
        <f t="shared" si="15"/>
        <v>1028.8203703703703</v>
      </c>
      <c r="AZ13" s="20">
        <f t="shared" si="16"/>
        <v>0</v>
      </c>
      <c r="BA13" s="20">
        <f t="shared" si="17"/>
        <v>1854.6498655703701</v>
      </c>
      <c r="BB13" s="20">
        <f t="shared" si="18"/>
        <v>1854.6498655703701</v>
      </c>
      <c r="BC13" s="38"/>
      <c r="BD13" s="21">
        <f t="shared" si="19"/>
        <v>370.92997311407407</v>
      </c>
      <c r="BE13" s="21">
        <f t="shared" si="20"/>
        <v>92.732493278518518</v>
      </c>
      <c r="BF13" s="21">
        <f t="shared" si="21"/>
        <v>92.732493278518518</v>
      </c>
      <c r="BG13" s="22">
        <f t="shared" si="22"/>
        <v>2411.0448252414812</v>
      </c>
      <c r="BH13" s="8">
        <v>95</v>
      </c>
      <c r="BI13" s="8">
        <v>105</v>
      </c>
      <c r="BJ13" s="9">
        <f>BG13/BH13</f>
        <v>25.379419213068225</v>
      </c>
      <c r="BK13" s="28">
        <f t="shared" si="25"/>
        <v>22.962331668966488</v>
      </c>
      <c r="BL13" s="25">
        <f>BG13</f>
        <v>2411.0448252414812</v>
      </c>
      <c r="BM13" s="27">
        <v>2000</v>
      </c>
      <c r="BN13" s="13">
        <f>BL13/BM13</f>
        <v>1.2055224126207407</v>
      </c>
    </row>
    <row r="14" spans="1:110" s="13" customFormat="1" ht="109.5" customHeight="1">
      <c r="G14" s="14"/>
      <c r="H14" s="4"/>
      <c r="I14" s="15"/>
      <c r="M14" s="16"/>
      <c r="O14" s="16"/>
      <c r="Q14" s="14"/>
      <c r="S14" s="3"/>
      <c r="T14" s="14"/>
      <c r="U14" s="14"/>
      <c r="Y14" s="14"/>
      <c r="Z14" s="14"/>
      <c r="AA14" s="14"/>
      <c r="AB14" s="14"/>
      <c r="AC14" s="14"/>
      <c r="AD14" s="14"/>
      <c r="AE14" s="14"/>
      <c r="AF14" s="14"/>
      <c r="AG14" s="14"/>
      <c r="AH14" s="16"/>
      <c r="AI14" s="16"/>
      <c r="AK14" s="17"/>
      <c r="AL14" s="17"/>
      <c r="AM14" s="17"/>
      <c r="AN14" s="17"/>
      <c r="AO14" s="18"/>
      <c r="AP14" s="14"/>
      <c r="AQ14" s="18"/>
      <c r="AR14" s="18"/>
      <c r="AS14" s="18"/>
      <c r="AT14" s="17"/>
      <c r="AU14" s="14"/>
      <c r="AV14" s="19"/>
      <c r="AW14" s="19"/>
      <c r="AX14" s="19"/>
      <c r="AY14" s="20"/>
      <c r="AZ14" s="20"/>
      <c r="BA14" s="20"/>
      <c r="BB14" s="20"/>
      <c r="BC14" s="38"/>
      <c r="BD14" s="21"/>
      <c r="BE14" s="21"/>
      <c r="BF14" s="21"/>
      <c r="BG14" s="22"/>
      <c r="BH14" s="8"/>
      <c r="BI14" s="8"/>
      <c r="BJ14" s="9"/>
      <c r="BK14" s="28"/>
      <c r="BL14" s="24"/>
    </row>
    <row r="15" spans="1:110" s="13" customFormat="1" ht="109.5" customHeight="1">
      <c r="G15" s="14"/>
      <c r="H15" s="4"/>
      <c r="I15" s="15">
        <v>0</v>
      </c>
      <c r="M15" s="16">
        <f t="shared" ref="M15:M20" si="26">(L15*K15*J15*7.85)/1000000</f>
        <v>0</v>
      </c>
      <c r="O15" s="16">
        <f t="shared" ref="O15:O20" si="27">M15-N15</f>
        <v>0</v>
      </c>
      <c r="Q15" s="14"/>
      <c r="S15" s="3"/>
      <c r="T15" s="14"/>
      <c r="U15" s="14"/>
      <c r="Y15" s="14"/>
      <c r="Z15" s="14"/>
      <c r="AA15" s="14"/>
      <c r="AB15" s="14"/>
      <c r="AC15" s="14"/>
      <c r="AD15" s="14"/>
      <c r="AE15" s="14"/>
      <c r="AF15" s="14"/>
      <c r="AG15" s="14"/>
      <c r="AH15" s="16">
        <f t="shared" ref="AH15:AH20" si="28">((J15*K15*2)/645)</f>
        <v>0</v>
      </c>
      <c r="AI15" s="16">
        <f t="shared" ref="AI15:AI20" si="29">(AH15/144)</f>
        <v>0</v>
      </c>
      <c r="AK15" s="17">
        <f t="shared" ref="AK15:AK20" si="30">M15*I15-(O15*26)</f>
        <v>0</v>
      </c>
      <c r="AL15" s="17">
        <f t="shared" ref="AL15:AL20" si="31">P15*0.55</f>
        <v>0</v>
      </c>
      <c r="AM15" s="17">
        <f t="shared" ref="AM15:AM20" si="32">R15*15</f>
        <v>0</v>
      </c>
      <c r="AN15" s="17">
        <f t="shared" ref="AN15:AN20" si="33">(W15+X15+Y15)*10</f>
        <v>0</v>
      </c>
      <c r="AO15" s="18">
        <f t="shared" ref="AO15:AO20" si="34">N15*35*V15</f>
        <v>0</v>
      </c>
      <c r="AP15" s="14"/>
      <c r="AQ15" s="18">
        <f t="shared" ref="AQ15:AQ20" si="35">(N15*50)*Z15</f>
        <v>0</v>
      </c>
      <c r="AR15" s="18">
        <f t="shared" ref="AR15:AR20" si="36">(AI15*17.25)*AA15</f>
        <v>0</v>
      </c>
      <c r="AS15" s="18">
        <f t="shared" ref="AS15:AS20" si="37">(N15*10)*AB15</f>
        <v>0</v>
      </c>
      <c r="AT15" s="17">
        <f t="shared" ref="AT15:AT20" si="38">AC15*((AH15/2)*1.8)</f>
        <v>0</v>
      </c>
      <c r="AU15" s="14"/>
      <c r="AV15" s="19">
        <f t="shared" ref="AV15:AV20" si="39">AE15*(AI15*35)</f>
        <v>0</v>
      </c>
      <c r="AW15" s="19">
        <f t="shared" ref="AW15:AW20" si="40">AF15*AI15*15</f>
        <v>0</v>
      </c>
      <c r="AX15" s="19">
        <f t="shared" ref="AX15:AX20" si="41">AG15*(AH15*3.2)</f>
        <v>0</v>
      </c>
      <c r="AY15" s="20">
        <f t="shared" ref="AY15:AY20" si="42">AV15+AU15+AT15+AP15+AO15+AN15+AM15+AL15+AQ15+AR15+AS15+AW15+AX15</f>
        <v>0</v>
      </c>
      <c r="AZ15" s="20">
        <f t="shared" ref="AZ15:AZ20" si="43">T15*U15</f>
        <v>0</v>
      </c>
      <c r="BA15" s="20">
        <f t="shared" ref="BA15:BA20" si="44">(AK15+AZ15+AY15)</f>
        <v>0</v>
      </c>
      <c r="BB15" s="20">
        <f t="shared" ref="BB15:BB20" si="45">(BA15*H15)</f>
        <v>0</v>
      </c>
      <c r="BC15" s="38"/>
      <c r="BD15" s="21">
        <f t="shared" ref="BD15:BD20" si="46">BB15*20%</f>
        <v>0</v>
      </c>
      <c r="BE15" s="21">
        <f t="shared" ref="BE15:BE20" si="47">BB15*5%</f>
        <v>0</v>
      </c>
      <c r="BF15" s="21">
        <f t="shared" ref="BF15:BF20" si="48">BB15*5%</f>
        <v>0</v>
      </c>
      <c r="BG15" s="22">
        <f t="shared" ref="BG15:BG20" si="49">(BF15+BE15+BD15+BC15+BB15)</f>
        <v>0</v>
      </c>
      <c r="BH15" s="8">
        <v>75</v>
      </c>
      <c r="BI15" s="8"/>
      <c r="BJ15" s="9">
        <f t="shared" ref="BJ15:BJ20" si="50">BG15/BH15</f>
        <v>0</v>
      </c>
      <c r="BK15" s="28"/>
      <c r="BL15" s="24"/>
    </row>
    <row r="16" spans="1:110" s="13" customFormat="1" ht="109.5" customHeight="1">
      <c r="G16" s="14"/>
      <c r="H16" s="4"/>
      <c r="I16" s="15">
        <v>0</v>
      </c>
      <c r="M16" s="16">
        <f t="shared" si="26"/>
        <v>0</v>
      </c>
      <c r="O16" s="16">
        <f t="shared" si="27"/>
        <v>0</v>
      </c>
      <c r="Q16" s="14"/>
      <c r="S16" s="3"/>
      <c r="T16" s="14"/>
      <c r="U16" s="14"/>
      <c r="Y16" s="14"/>
      <c r="Z16" s="14"/>
      <c r="AA16" s="14"/>
      <c r="AB16" s="14"/>
      <c r="AC16" s="14"/>
      <c r="AD16" s="14"/>
      <c r="AE16" s="14"/>
      <c r="AF16" s="14"/>
      <c r="AG16" s="14"/>
      <c r="AH16" s="16">
        <f t="shared" si="28"/>
        <v>0</v>
      </c>
      <c r="AI16" s="16">
        <f t="shared" si="29"/>
        <v>0</v>
      </c>
      <c r="AK16" s="17">
        <f t="shared" si="30"/>
        <v>0</v>
      </c>
      <c r="AL16" s="17">
        <f t="shared" si="31"/>
        <v>0</v>
      </c>
      <c r="AM16" s="17">
        <f t="shared" si="32"/>
        <v>0</v>
      </c>
      <c r="AN16" s="17">
        <f t="shared" si="33"/>
        <v>0</v>
      </c>
      <c r="AO16" s="18">
        <f t="shared" si="34"/>
        <v>0</v>
      </c>
      <c r="AP16" s="14"/>
      <c r="AQ16" s="18">
        <f t="shared" si="35"/>
        <v>0</v>
      </c>
      <c r="AR16" s="18">
        <f t="shared" si="36"/>
        <v>0</v>
      </c>
      <c r="AS16" s="18">
        <f t="shared" si="37"/>
        <v>0</v>
      </c>
      <c r="AT16" s="17">
        <f t="shared" si="38"/>
        <v>0</v>
      </c>
      <c r="AU16" s="14"/>
      <c r="AV16" s="19">
        <f t="shared" si="39"/>
        <v>0</v>
      </c>
      <c r="AW16" s="19">
        <f t="shared" si="40"/>
        <v>0</v>
      </c>
      <c r="AX16" s="19">
        <f t="shared" si="41"/>
        <v>0</v>
      </c>
      <c r="AY16" s="20">
        <f t="shared" si="42"/>
        <v>0</v>
      </c>
      <c r="AZ16" s="20">
        <f t="shared" si="43"/>
        <v>0</v>
      </c>
      <c r="BA16" s="20">
        <f t="shared" si="44"/>
        <v>0</v>
      </c>
      <c r="BB16" s="20">
        <f t="shared" si="45"/>
        <v>0</v>
      </c>
      <c r="BC16" s="38"/>
      <c r="BD16" s="21">
        <f t="shared" si="46"/>
        <v>0</v>
      </c>
      <c r="BE16" s="21">
        <f t="shared" si="47"/>
        <v>0</v>
      </c>
      <c r="BF16" s="21">
        <f t="shared" si="48"/>
        <v>0</v>
      </c>
      <c r="BG16" s="22">
        <f t="shared" si="49"/>
        <v>0</v>
      </c>
      <c r="BH16" s="8">
        <v>75</v>
      </c>
      <c r="BI16" s="8"/>
      <c r="BJ16" s="9">
        <f t="shared" si="50"/>
        <v>0</v>
      </c>
      <c r="BK16" s="28"/>
      <c r="BL16" s="24"/>
    </row>
    <row r="17" spans="7:65" s="13" customFormat="1" ht="109.5" customHeight="1">
      <c r="G17" s="14"/>
      <c r="H17" s="4"/>
      <c r="I17" s="15">
        <v>0</v>
      </c>
      <c r="M17" s="16">
        <f t="shared" si="26"/>
        <v>0</v>
      </c>
      <c r="O17" s="16">
        <f t="shared" si="27"/>
        <v>0</v>
      </c>
      <c r="Q17" s="14"/>
      <c r="S17" s="3"/>
      <c r="T17" s="14"/>
      <c r="U17" s="14"/>
      <c r="Y17" s="14"/>
      <c r="Z17" s="14"/>
      <c r="AA17" s="14"/>
      <c r="AB17" s="14"/>
      <c r="AC17" s="14"/>
      <c r="AD17" s="14"/>
      <c r="AE17" s="14"/>
      <c r="AF17" s="14"/>
      <c r="AG17" s="14"/>
      <c r="AH17" s="16">
        <f t="shared" si="28"/>
        <v>0</v>
      </c>
      <c r="AI17" s="16">
        <f t="shared" si="29"/>
        <v>0</v>
      </c>
      <c r="AK17" s="17">
        <f t="shared" si="30"/>
        <v>0</v>
      </c>
      <c r="AL17" s="17">
        <f t="shared" si="31"/>
        <v>0</v>
      </c>
      <c r="AM17" s="17">
        <f t="shared" si="32"/>
        <v>0</v>
      </c>
      <c r="AN17" s="17">
        <f t="shared" si="33"/>
        <v>0</v>
      </c>
      <c r="AO17" s="18">
        <f t="shared" si="34"/>
        <v>0</v>
      </c>
      <c r="AP17" s="14"/>
      <c r="AQ17" s="18">
        <f t="shared" si="35"/>
        <v>0</v>
      </c>
      <c r="AR17" s="18">
        <f t="shared" si="36"/>
        <v>0</v>
      </c>
      <c r="AS17" s="18">
        <f t="shared" si="37"/>
        <v>0</v>
      </c>
      <c r="AT17" s="17">
        <f t="shared" si="38"/>
        <v>0</v>
      </c>
      <c r="AU17" s="14"/>
      <c r="AV17" s="19">
        <f t="shared" si="39"/>
        <v>0</v>
      </c>
      <c r="AW17" s="19">
        <f t="shared" si="40"/>
        <v>0</v>
      </c>
      <c r="AX17" s="19">
        <f t="shared" si="41"/>
        <v>0</v>
      </c>
      <c r="AY17" s="20">
        <f t="shared" si="42"/>
        <v>0</v>
      </c>
      <c r="AZ17" s="20">
        <f t="shared" si="43"/>
        <v>0</v>
      </c>
      <c r="BA17" s="20">
        <f t="shared" si="44"/>
        <v>0</v>
      </c>
      <c r="BB17" s="20">
        <f t="shared" si="45"/>
        <v>0</v>
      </c>
      <c r="BC17" s="38"/>
      <c r="BD17" s="21">
        <f t="shared" si="46"/>
        <v>0</v>
      </c>
      <c r="BE17" s="21">
        <f t="shared" si="47"/>
        <v>0</v>
      </c>
      <c r="BF17" s="21">
        <f t="shared" si="48"/>
        <v>0</v>
      </c>
      <c r="BG17" s="22">
        <f t="shared" si="49"/>
        <v>0</v>
      </c>
      <c r="BH17" s="8">
        <v>75</v>
      </c>
      <c r="BI17" s="8"/>
      <c r="BJ17" s="9">
        <f t="shared" si="50"/>
        <v>0</v>
      </c>
      <c r="BK17" s="28"/>
      <c r="BL17" s="24"/>
    </row>
    <row r="18" spans="7:65" s="13" customFormat="1" ht="109.5" customHeight="1">
      <c r="G18" s="14"/>
      <c r="H18" s="4"/>
      <c r="I18" s="15">
        <v>0</v>
      </c>
      <c r="M18" s="16">
        <f t="shared" si="26"/>
        <v>0</v>
      </c>
      <c r="O18" s="16">
        <f t="shared" si="27"/>
        <v>0</v>
      </c>
      <c r="Q18" s="14"/>
      <c r="S18" s="3"/>
      <c r="T18" s="14"/>
      <c r="U18" s="14"/>
      <c r="Y18" s="14"/>
      <c r="Z18" s="14"/>
      <c r="AA18" s="14"/>
      <c r="AB18" s="14"/>
      <c r="AC18" s="14"/>
      <c r="AD18" s="14"/>
      <c r="AE18" s="14"/>
      <c r="AF18" s="14"/>
      <c r="AG18" s="14"/>
      <c r="AH18" s="16">
        <f t="shared" si="28"/>
        <v>0</v>
      </c>
      <c r="AI18" s="16">
        <f t="shared" si="29"/>
        <v>0</v>
      </c>
      <c r="AK18" s="17">
        <f t="shared" si="30"/>
        <v>0</v>
      </c>
      <c r="AL18" s="17">
        <f t="shared" si="31"/>
        <v>0</v>
      </c>
      <c r="AM18" s="17">
        <f t="shared" si="32"/>
        <v>0</v>
      </c>
      <c r="AN18" s="17">
        <f t="shared" si="33"/>
        <v>0</v>
      </c>
      <c r="AO18" s="18">
        <f t="shared" si="34"/>
        <v>0</v>
      </c>
      <c r="AP18" s="14"/>
      <c r="AQ18" s="18">
        <f t="shared" si="35"/>
        <v>0</v>
      </c>
      <c r="AR18" s="18">
        <f t="shared" si="36"/>
        <v>0</v>
      </c>
      <c r="AS18" s="18">
        <f t="shared" si="37"/>
        <v>0</v>
      </c>
      <c r="AT18" s="17">
        <f t="shared" si="38"/>
        <v>0</v>
      </c>
      <c r="AU18" s="14"/>
      <c r="AV18" s="19">
        <f t="shared" si="39"/>
        <v>0</v>
      </c>
      <c r="AW18" s="19">
        <f t="shared" si="40"/>
        <v>0</v>
      </c>
      <c r="AX18" s="19">
        <f t="shared" si="41"/>
        <v>0</v>
      </c>
      <c r="AY18" s="20">
        <f t="shared" si="42"/>
        <v>0</v>
      </c>
      <c r="AZ18" s="20">
        <f t="shared" si="43"/>
        <v>0</v>
      </c>
      <c r="BA18" s="20">
        <f t="shared" si="44"/>
        <v>0</v>
      </c>
      <c r="BB18" s="20">
        <f t="shared" si="45"/>
        <v>0</v>
      </c>
      <c r="BC18" s="38"/>
      <c r="BD18" s="21">
        <f t="shared" si="46"/>
        <v>0</v>
      </c>
      <c r="BE18" s="21">
        <f t="shared" si="47"/>
        <v>0</v>
      </c>
      <c r="BF18" s="21">
        <f t="shared" si="48"/>
        <v>0</v>
      </c>
      <c r="BG18" s="22">
        <f t="shared" si="49"/>
        <v>0</v>
      </c>
      <c r="BH18" s="8">
        <v>75</v>
      </c>
      <c r="BI18" s="8"/>
      <c r="BJ18" s="9">
        <f t="shared" si="50"/>
        <v>0</v>
      </c>
      <c r="BK18" s="28"/>
      <c r="BL18" s="24"/>
    </row>
    <row r="19" spans="7:65" s="13" customFormat="1" ht="109.5" customHeight="1">
      <c r="G19" s="14"/>
      <c r="H19" s="4"/>
      <c r="I19" s="15">
        <v>0</v>
      </c>
      <c r="M19" s="16">
        <f t="shared" si="26"/>
        <v>0</v>
      </c>
      <c r="O19" s="16">
        <f t="shared" si="27"/>
        <v>0</v>
      </c>
      <c r="Q19" s="14"/>
      <c r="S19" s="3"/>
      <c r="T19" s="14"/>
      <c r="U19" s="14"/>
      <c r="Y19" s="14"/>
      <c r="Z19" s="14"/>
      <c r="AA19" s="14"/>
      <c r="AB19" s="14"/>
      <c r="AC19" s="14"/>
      <c r="AD19" s="14"/>
      <c r="AE19" s="14"/>
      <c r="AF19" s="14"/>
      <c r="AG19" s="14"/>
      <c r="AH19" s="16">
        <f t="shared" si="28"/>
        <v>0</v>
      </c>
      <c r="AI19" s="16">
        <f t="shared" si="29"/>
        <v>0</v>
      </c>
      <c r="AK19" s="17">
        <f t="shared" si="30"/>
        <v>0</v>
      </c>
      <c r="AL19" s="17">
        <f t="shared" si="31"/>
        <v>0</v>
      </c>
      <c r="AM19" s="17">
        <f t="shared" si="32"/>
        <v>0</v>
      </c>
      <c r="AN19" s="17">
        <f t="shared" si="33"/>
        <v>0</v>
      </c>
      <c r="AO19" s="18">
        <f t="shared" si="34"/>
        <v>0</v>
      </c>
      <c r="AP19" s="14"/>
      <c r="AQ19" s="18">
        <f t="shared" si="35"/>
        <v>0</v>
      </c>
      <c r="AR19" s="18">
        <f t="shared" si="36"/>
        <v>0</v>
      </c>
      <c r="AS19" s="18">
        <f t="shared" si="37"/>
        <v>0</v>
      </c>
      <c r="AT19" s="17">
        <f t="shared" si="38"/>
        <v>0</v>
      </c>
      <c r="AU19" s="14"/>
      <c r="AV19" s="19">
        <f t="shared" si="39"/>
        <v>0</v>
      </c>
      <c r="AW19" s="19">
        <f t="shared" si="40"/>
        <v>0</v>
      </c>
      <c r="AX19" s="19">
        <f t="shared" si="41"/>
        <v>0</v>
      </c>
      <c r="AY19" s="20">
        <f t="shared" si="42"/>
        <v>0</v>
      </c>
      <c r="AZ19" s="20">
        <f t="shared" si="43"/>
        <v>0</v>
      </c>
      <c r="BA19" s="20">
        <f t="shared" si="44"/>
        <v>0</v>
      </c>
      <c r="BB19" s="20">
        <f t="shared" si="45"/>
        <v>0</v>
      </c>
      <c r="BC19" s="38"/>
      <c r="BD19" s="21">
        <f t="shared" si="46"/>
        <v>0</v>
      </c>
      <c r="BE19" s="21">
        <f t="shared" si="47"/>
        <v>0</v>
      </c>
      <c r="BF19" s="21">
        <f t="shared" si="48"/>
        <v>0</v>
      </c>
      <c r="BG19" s="22">
        <f t="shared" si="49"/>
        <v>0</v>
      </c>
      <c r="BH19" s="8">
        <v>75</v>
      </c>
      <c r="BI19" s="8"/>
      <c r="BJ19" s="9">
        <f t="shared" si="50"/>
        <v>0</v>
      </c>
      <c r="BK19" s="28"/>
      <c r="BL19" s="24"/>
    </row>
    <row r="20" spans="7:65" s="13" customFormat="1" ht="109.5" customHeight="1">
      <c r="G20" s="14"/>
      <c r="H20" s="4"/>
      <c r="I20" s="15">
        <v>0</v>
      </c>
      <c r="M20" s="16">
        <f t="shared" si="26"/>
        <v>0</v>
      </c>
      <c r="O20" s="16">
        <f t="shared" si="27"/>
        <v>0</v>
      </c>
      <c r="Q20" s="14"/>
      <c r="S20" s="3"/>
      <c r="T20" s="14"/>
      <c r="U20" s="14"/>
      <c r="Y20" s="14"/>
      <c r="Z20" s="14"/>
      <c r="AA20" s="14"/>
      <c r="AB20" s="14"/>
      <c r="AC20" s="14"/>
      <c r="AD20" s="14"/>
      <c r="AE20" s="14"/>
      <c r="AF20" s="14"/>
      <c r="AG20" s="14"/>
      <c r="AH20" s="16">
        <f t="shared" si="28"/>
        <v>0</v>
      </c>
      <c r="AI20" s="16">
        <f t="shared" si="29"/>
        <v>0</v>
      </c>
      <c r="AK20" s="17">
        <f t="shared" si="30"/>
        <v>0</v>
      </c>
      <c r="AL20" s="17">
        <f t="shared" si="31"/>
        <v>0</v>
      </c>
      <c r="AM20" s="17">
        <f t="shared" si="32"/>
        <v>0</v>
      </c>
      <c r="AN20" s="17">
        <f t="shared" si="33"/>
        <v>0</v>
      </c>
      <c r="AO20" s="18">
        <f t="shared" si="34"/>
        <v>0</v>
      </c>
      <c r="AP20" s="14"/>
      <c r="AQ20" s="18">
        <f t="shared" si="35"/>
        <v>0</v>
      </c>
      <c r="AR20" s="18">
        <f t="shared" si="36"/>
        <v>0</v>
      </c>
      <c r="AS20" s="18">
        <f t="shared" si="37"/>
        <v>0</v>
      </c>
      <c r="AT20" s="17">
        <f t="shared" si="38"/>
        <v>0</v>
      </c>
      <c r="AU20" s="14"/>
      <c r="AV20" s="19">
        <f t="shared" si="39"/>
        <v>0</v>
      </c>
      <c r="AW20" s="19">
        <f t="shared" si="40"/>
        <v>0</v>
      </c>
      <c r="AX20" s="19">
        <f t="shared" si="41"/>
        <v>0</v>
      </c>
      <c r="AY20" s="20">
        <f t="shared" si="42"/>
        <v>0</v>
      </c>
      <c r="AZ20" s="20">
        <f t="shared" si="43"/>
        <v>0</v>
      </c>
      <c r="BA20" s="20">
        <f t="shared" si="44"/>
        <v>0</v>
      </c>
      <c r="BB20" s="20">
        <f t="shared" si="45"/>
        <v>0</v>
      </c>
      <c r="BC20" s="38"/>
      <c r="BD20" s="21">
        <f t="shared" si="46"/>
        <v>0</v>
      </c>
      <c r="BE20" s="21">
        <f t="shared" si="47"/>
        <v>0</v>
      </c>
      <c r="BF20" s="21">
        <f t="shared" si="48"/>
        <v>0</v>
      </c>
      <c r="BG20" s="22">
        <f t="shared" si="49"/>
        <v>0</v>
      </c>
      <c r="BH20" s="8">
        <v>75</v>
      </c>
      <c r="BI20" s="8"/>
      <c r="BJ20" s="9">
        <f t="shared" si="50"/>
        <v>0</v>
      </c>
      <c r="BK20" s="28"/>
      <c r="BL20" s="24"/>
    </row>
    <row r="21" spans="7:65" ht="80.099999999999994" customHeight="1">
      <c r="BL21" s="5"/>
      <c r="BM21" s="5"/>
    </row>
    <row r="22" spans="7:65" ht="80.099999999999994" customHeight="1">
      <c r="BL22" s="5"/>
      <c r="BM22" s="5"/>
    </row>
    <row r="23" spans="7:65" ht="80.099999999999994" customHeight="1">
      <c r="BL23" s="5"/>
      <c r="BM23" s="5"/>
    </row>
    <row r="24" spans="7:65" ht="80.099999999999994" customHeight="1">
      <c r="BL24" s="5"/>
      <c r="BM24" s="5"/>
    </row>
    <row r="25" spans="7:65" ht="80.099999999999994" customHeight="1">
      <c r="BL25" s="5"/>
      <c r="BM25" s="5"/>
    </row>
    <row r="26" spans="7:65" ht="80.099999999999994" customHeight="1">
      <c r="BL26" s="5"/>
      <c r="BM26" s="5"/>
    </row>
    <row r="27" spans="7:65" s="23" customFormat="1" ht="80.099999999999994" customHeight="1">
      <c r="BK27" s="30"/>
    </row>
    <row r="28" spans="7:65" s="13" customFormat="1" ht="80.099999999999994" customHeight="1">
      <c r="BK28" s="31"/>
    </row>
    <row r="29" spans="7:65" s="13" customFormat="1" ht="80.099999999999994" customHeight="1">
      <c r="BK29" s="31"/>
    </row>
    <row r="30" spans="7:65" s="13" customFormat="1" ht="80.099999999999994" customHeight="1">
      <c r="BK30" s="31"/>
    </row>
    <row r="31" spans="7:65" s="13" customFormat="1" ht="80.099999999999994" customHeight="1">
      <c r="BK31" s="31"/>
    </row>
    <row r="32" spans="7:65" s="13" customFormat="1" ht="80.099999999999994" customHeight="1">
      <c r="BK32" s="31"/>
    </row>
    <row r="33" spans="42:101" s="13" customFormat="1" ht="80.099999999999994" customHeight="1">
      <c r="BK33" s="31"/>
    </row>
    <row r="34" spans="42:101" s="13" customFormat="1" ht="80.099999999999994" customHeight="1">
      <c r="BK34" s="31"/>
    </row>
    <row r="35" spans="42:101" s="13" customFormat="1" ht="80.099999999999994" customHeight="1">
      <c r="BK35" s="31"/>
    </row>
    <row r="36" spans="42:101" s="13" customFormat="1" ht="80.099999999999994" customHeight="1">
      <c r="BK36" s="31"/>
    </row>
    <row r="37" spans="42:101" s="13" customFormat="1" ht="80.099999999999994" customHeight="1">
      <c r="BK37" s="31"/>
    </row>
    <row r="38" spans="42:101" s="13" customFormat="1" ht="80.099999999999994" customHeight="1">
      <c r="BK38" s="31"/>
    </row>
    <row r="39" spans="42:101" s="13" customFormat="1" ht="80.099999999999994" customHeight="1">
      <c r="BK39" s="31"/>
    </row>
    <row r="40" spans="42:101" s="13" customFormat="1" ht="80.099999999999994" customHeight="1">
      <c r="BK40" s="31"/>
    </row>
    <row r="41" spans="42:101" s="13" customFormat="1" ht="80.099999999999994" customHeight="1">
      <c r="BK41" s="31"/>
    </row>
    <row r="42" spans="42:101" s="13" customFormat="1" ht="80.099999999999994" customHeight="1">
      <c r="BK42" s="31"/>
    </row>
    <row r="43" spans="42:101" s="13" customFormat="1" ht="80.099999999999994" customHeight="1">
      <c r="BK43" s="31"/>
    </row>
    <row r="44" spans="42:101" s="13" customFormat="1" ht="80.099999999999994" customHeight="1">
      <c r="BK44" s="31"/>
    </row>
    <row r="45" spans="42:101" s="13" customFormat="1" ht="80.099999999999994" customHeight="1">
      <c r="BK45" s="31"/>
    </row>
    <row r="46" spans="42:101" s="10" customFormat="1" ht="80.099999999999994" customHeight="1">
      <c r="AP46" s="23"/>
      <c r="AU46" s="23"/>
      <c r="BC46" s="23"/>
      <c r="BI46" s="11"/>
      <c r="BJ46" s="11"/>
      <c r="BK46" s="32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12"/>
    </row>
    <row r="47" spans="42:101" s="4" customFormat="1" ht="80.099999999999994" customHeight="1">
      <c r="AP47" s="13"/>
      <c r="AU47" s="13"/>
      <c r="BC47" s="13"/>
      <c r="BI47" s="6"/>
      <c r="BJ47" s="6"/>
      <c r="BK47" s="33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7"/>
    </row>
    <row r="48" spans="42:101" s="4" customFormat="1" ht="80.099999999999994" customHeight="1">
      <c r="AP48" s="13"/>
      <c r="AU48" s="13"/>
      <c r="BC48" s="13"/>
      <c r="BI48" s="6"/>
      <c r="BJ48" s="6"/>
      <c r="BK48" s="33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7"/>
    </row>
    <row r="49" spans="42:101" s="4" customFormat="1" ht="80.099999999999994" customHeight="1">
      <c r="AP49" s="13"/>
      <c r="AU49" s="13"/>
      <c r="BC49" s="13"/>
      <c r="BI49" s="6"/>
      <c r="BJ49" s="6"/>
      <c r="BK49" s="33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7"/>
    </row>
    <row r="50" spans="42:101" s="4" customFormat="1" ht="80.099999999999994" customHeight="1">
      <c r="AP50" s="13"/>
      <c r="AU50" s="13"/>
      <c r="BC50" s="13"/>
      <c r="BI50" s="6"/>
      <c r="BJ50" s="6"/>
      <c r="BK50" s="33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7"/>
    </row>
    <row r="51" spans="42:101" s="4" customFormat="1" ht="80.099999999999994" customHeight="1">
      <c r="AP51" s="13"/>
      <c r="AU51" s="13"/>
      <c r="BC51" s="13"/>
      <c r="BI51" s="6"/>
      <c r="BJ51" s="6"/>
      <c r="BK51" s="33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7"/>
    </row>
    <row r="52" spans="42:101" s="4" customFormat="1" ht="80.099999999999994" customHeight="1">
      <c r="AP52" s="13"/>
      <c r="AU52" s="13"/>
      <c r="BC52" s="13"/>
      <c r="BI52" s="6"/>
      <c r="BJ52" s="6"/>
      <c r="BK52" s="33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7"/>
    </row>
    <row r="53" spans="42:101" s="4" customFormat="1" ht="80.099999999999994" customHeight="1">
      <c r="AP53" s="13"/>
      <c r="AU53" s="13"/>
      <c r="BC53" s="13"/>
      <c r="BI53" s="6"/>
      <c r="BJ53" s="6"/>
      <c r="BK53" s="33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7"/>
    </row>
    <row r="54" spans="42:101" s="4" customFormat="1" ht="80.099999999999994" customHeight="1">
      <c r="AP54" s="13"/>
      <c r="AU54" s="13"/>
      <c r="BC54" s="13"/>
      <c r="BI54" s="6"/>
      <c r="BJ54" s="6"/>
      <c r="BK54" s="33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7"/>
    </row>
    <row r="55" spans="42:101" s="4" customFormat="1" ht="80.099999999999994" customHeight="1">
      <c r="AP55" s="13"/>
      <c r="AU55" s="13"/>
      <c r="BC55" s="13"/>
      <c r="BI55" s="6"/>
      <c r="BJ55" s="6"/>
      <c r="BK55" s="33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7"/>
    </row>
    <row r="56" spans="42:101" s="4" customFormat="1" ht="80.099999999999994" customHeight="1">
      <c r="AP56" s="13"/>
      <c r="AU56" s="13"/>
      <c r="BC56" s="13"/>
      <c r="BI56" s="6"/>
      <c r="BJ56" s="6"/>
      <c r="BK56" s="33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7"/>
    </row>
    <row r="57" spans="42:101" s="4" customFormat="1" ht="80.099999999999994" customHeight="1">
      <c r="AP57" s="13"/>
      <c r="AU57" s="13"/>
      <c r="BC57" s="13"/>
      <c r="BI57" s="6"/>
      <c r="BJ57" s="6"/>
      <c r="BK57" s="33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7"/>
    </row>
    <row r="58" spans="42:101" s="4" customFormat="1" ht="80.099999999999994" customHeight="1">
      <c r="AP58" s="13"/>
      <c r="AU58" s="13"/>
      <c r="BC58" s="13"/>
      <c r="BI58" s="6"/>
      <c r="BJ58" s="6"/>
      <c r="BK58" s="33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7"/>
    </row>
    <row r="59" spans="42:101" s="4" customFormat="1" ht="80.099999999999994" customHeight="1">
      <c r="AP59" s="13"/>
      <c r="AU59" s="13"/>
      <c r="BC59" s="13"/>
      <c r="BI59" s="6"/>
      <c r="BJ59" s="6"/>
      <c r="BK59" s="33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7"/>
    </row>
    <row r="60" spans="42:101" s="4" customFormat="1" ht="80.099999999999994" customHeight="1">
      <c r="AP60" s="13"/>
      <c r="AU60" s="13"/>
      <c r="BC60" s="13"/>
      <c r="BI60" s="6"/>
      <c r="BJ60" s="6"/>
      <c r="BK60" s="33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7"/>
    </row>
    <row r="61" spans="42:101" s="4" customFormat="1" ht="80.099999999999994" customHeight="1">
      <c r="AP61" s="13"/>
      <c r="AU61" s="13"/>
      <c r="BC61" s="13"/>
      <c r="BI61" s="6"/>
      <c r="BJ61" s="6"/>
      <c r="BK61" s="33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7"/>
    </row>
    <row r="62" spans="42:101" s="4" customFormat="1" ht="80.099999999999994" customHeight="1">
      <c r="AP62" s="13"/>
      <c r="AU62" s="13"/>
      <c r="BC62" s="13"/>
      <c r="BI62" s="6"/>
      <c r="BJ62" s="6"/>
      <c r="BK62" s="33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7"/>
    </row>
    <row r="63" spans="42:101" s="4" customFormat="1" ht="80.099999999999994" customHeight="1">
      <c r="AP63" s="13"/>
      <c r="AU63" s="13"/>
      <c r="BC63" s="13"/>
      <c r="BI63" s="6"/>
      <c r="BJ63" s="6"/>
      <c r="BK63" s="33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7"/>
    </row>
    <row r="64" spans="42:101" s="4" customFormat="1" ht="80.099999999999994" customHeight="1">
      <c r="AP64" s="13"/>
      <c r="AU64" s="13"/>
      <c r="BC64" s="13"/>
      <c r="BI64" s="6"/>
      <c r="BJ64" s="6"/>
      <c r="BK64" s="33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7"/>
    </row>
    <row r="65" spans="42:101" s="4" customFormat="1" ht="80.099999999999994" customHeight="1">
      <c r="AP65" s="13"/>
      <c r="AU65" s="13"/>
      <c r="BC65" s="13"/>
      <c r="BI65" s="6"/>
      <c r="BJ65" s="6"/>
      <c r="BK65" s="33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7"/>
    </row>
    <row r="66" spans="42:101" s="4" customFormat="1" ht="80.099999999999994" customHeight="1">
      <c r="AP66" s="13"/>
      <c r="AU66" s="13"/>
      <c r="BC66" s="13"/>
      <c r="BI66" s="6"/>
      <c r="BJ66" s="6"/>
      <c r="BK66" s="33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7"/>
    </row>
    <row r="67" spans="42:101" s="4" customFormat="1" ht="80.099999999999994" customHeight="1">
      <c r="AP67" s="13"/>
      <c r="AU67" s="13"/>
      <c r="BC67" s="13"/>
      <c r="BI67" s="6"/>
      <c r="BJ67" s="6"/>
      <c r="BK67" s="33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7"/>
    </row>
    <row r="68" spans="42:101" s="4" customFormat="1" ht="80.099999999999994" customHeight="1">
      <c r="AP68" s="13"/>
      <c r="AU68" s="13"/>
      <c r="BC68" s="13"/>
      <c r="BI68" s="6"/>
      <c r="BJ68" s="6"/>
      <c r="BK68" s="33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7"/>
    </row>
    <row r="69" spans="42:101" s="4" customFormat="1" ht="80.099999999999994" customHeight="1">
      <c r="AP69" s="13"/>
      <c r="AU69" s="13"/>
      <c r="BC69" s="13"/>
      <c r="BI69" s="6"/>
      <c r="BJ69" s="6"/>
      <c r="BK69" s="33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7"/>
    </row>
    <row r="70" spans="42:101" s="4" customFormat="1" ht="80.099999999999994" customHeight="1">
      <c r="AP70" s="13"/>
      <c r="AU70" s="13"/>
      <c r="BC70" s="13"/>
      <c r="BI70" s="6"/>
      <c r="BJ70" s="6"/>
      <c r="BK70" s="33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7"/>
    </row>
    <row r="71" spans="42:101" s="4" customFormat="1" ht="80.099999999999994" customHeight="1">
      <c r="AP71" s="13"/>
      <c r="AU71" s="13"/>
      <c r="BC71" s="13"/>
      <c r="BI71" s="6"/>
      <c r="BJ71" s="6"/>
      <c r="BK71" s="33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7"/>
    </row>
    <row r="72" spans="42:101" s="4" customFormat="1" ht="80.099999999999994" customHeight="1">
      <c r="AP72" s="13"/>
      <c r="AU72" s="13"/>
      <c r="BC72" s="13"/>
      <c r="BI72" s="6"/>
      <c r="BJ72" s="6"/>
      <c r="BK72" s="33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7"/>
    </row>
    <row r="73" spans="42:101" s="4" customFormat="1" ht="80.099999999999994" customHeight="1">
      <c r="AP73" s="13"/>
      <c r="AU73" s="13"/>
      <c r="BC73" s="13"/>
      <c r="BI73" s="6"/>
      <c r="BJ73" s="6"/>
      <c r="BK73" s="33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7"/>
    </row>
    <row r="74" spans="42:101" s="4" customFormat="1" ht="80.099999999999994" customHeight="1">
      <c r="AP74" s="13"/>
      <c r="AU74" s="13"/>
      <c r="BC74" s="13"/>
      <c r="BI74" s="6"/>
      <c r="BJ74" s="6"/>
      <c r="BK74" s="33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7"/>
    </row>
    <row r="75" spans="42:101" s="4" customFormat="1" ht="80.099999999999994" customHeight="1">
      <c r="AP75" s="13"/>
      <c r="AU75" s="13"/>
      <c r="BC75" s="13"/>
      <c r="BI75" s="6"/>
      <c r="BJ75" s="6"/>
      <c r="BK75" s="33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7"/>
    </row>
    <row r="76" spans="42:101" s="4" customFormat="1" ht="80.099999999999994" customHeight="1">
      <c r="AP76" s="13"/>
      <c r="AU76" s="13"/>
      <c r="BC76" s="13"/>
      <c r="BI76" s="6"/>
      <c r="BJ76" s="6"/>
      <c r="BK76" s="33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7"/>
    </row>
    <row r="77" spans="42:101" s="4" customFormat="1" ht="80.099999999999994" customHeight="1">
      <c r="AP77" s="13"/>
      <c r="AU77" s="13"/>
      <c r="BC77" s="13"/>
      <c r="BI77" s="6"/>
      <c r="BJ77" s="6"/>
      <c r="BK77" s="33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7"/>
    </row>
    <row r="78" spans="42:101" s="4" customFormat="1" ht="80.099999999999994" customHeight="1">
      <c r="AP78" s="13"/>
      <c r="AU78" s="13"/>
      <c r="BC78" s="13"/>
      <c r="BI78" s="6"/>
      <c r="BJ78" s="6"/>
      <c r="BK78" s="33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7"/>
    </row>
    <row r="79" spans="42:101" s="4" customFormat="1" ht="80.099999999999994" customHeight="1">
      <c r="AP79" s="13"/>
      <c r="AU79" s="13"/>
      <c r="BC79" s="13"/>
      <c r="BI79" s="6"/>
      <c r="BJ79" s="6"/>
      <c r="BK79" s="33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7"/>
    </row>
    <row r="80" spans="42:101" s="4" customFormat="1" ht="80.099999999999994" customHeight="1">
      <c r="AP80" s="13"/>
      <c r="AU80" s="13"/>
      <c r="BC80" s="13"/>
      <c r="BI80" s="6"/>
      <c r="BJ80" s="6"/>
      <c r="BK80" s="33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7"/>
    </row>
    <row r="81" spans="42:101" s="4" customFormat="1" ht="80.099999999999994" customHeight="1">
      <c r="AP81" s="13"/>
      <c r="AU81" s="13"/>
      <c r="BC81" s="13"/>
      <c r="BI81" s="6"/>
      <c r="BJ81" s="6"/>
      <c r="BK81" s="33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7"/>
    </row>
    <row r="82" spans="42:101" s="4" customFormat="1" ht="80.099999999999994" customHeight="1">
      <c r="AP82" s="13"/>
      <c r="AU82" s="13"/>
      <c r="BC82" s="13"/>
      <c r="BI82" s="6"/>
      <c r="BJ82" s="6"/>
      <c r="BK82" s="33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7"/>
    </row>
    <row r="83" spans="42:101" s="4" customFormat="1" ht="80.099999999999994" customHeight="1">
      <c r="AP83" s="13"/>
      <c r="AU83" s="13"/>
      <c r="BC83" s="13"/>
      <c r="BI83" s="6"/>
      <c r="BJ83" s="6"/>
      <c r="BK83" s="33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7"/>
    </row>
    <row r="84" spans="42:101" s="4" customFormat="1" ht="80.099999999999994" customHeight="1">
      <c r="AP84" s="13"/>
      <c r="AU84" s="13"/>
      <c r="BC84" s="13"/>
      <c r="BI84" s="6"/>
      <c r="BJ84" s="6"/>
      <c r="BK84" s="33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7"/>
    </row>
    <row r="85" spans="42:101" s="4" customFormat="1" ht="80.099999999999994" customHeight="1">
      <c r="AP85" s="13"/>
      <c r="AU85" s="13"/>
      <c r="BC85" s="13"/>
      <c r="BI85" s="6"/>
      <c r="BJ85" s="6"/>
      <c r="BK85" s="33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7"/>
    </row>
    <row r="86" spans="42:101" s="4" customFormat="1" ht="80.099999999999994" customHeight="1">
      <c r="AP86" s="13"/>
      <c r="AU86" s="13"/>
      <c r="BC86" s="13"/>
      <c r="BI86" s="6"/>
      <c r="BJ86" s="6"/>
      <c r="BK86" s="33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7"/>
    </row>
    <row r="87" spans="42:101" s="4" customFormat="1" ht="80.099999999999994" customHeight="1">
      <c r="AP87" s="13"/>
      <c r="AU87" s="13"/>
      <c r="BC87" s="13"/>
      <c r="BI87" s="6"/>
      <c r="BJ87" s="6"/>
      <c r="BK87" s="33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7"/>
    </row>
    <row r="88" spans="42:101" s="4" customFormat="1" ht="80.099999999999994" customHeight="1">
      <c r="AP88" s="13"/>
      <c r="AU88" s="13"/>
      <c r="BC88" s="13"/>
      <c r="BI88" s="6"/>
      <c r="BJ88" s="6"/>
      <c r="BK88" s="33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7"/>
    </row>
    <row r="89" spans="42:101" s="4" customFormat="1" ht="80.099999999999994" customHeight="1">
      <c r="AP89" s="13"/>
      <c r="AU89" s="13"/>
      <c r="BC89" s="13"/>
      <c r="BI89" s="6"/>
      <c r="BJ89" s="6"/>
      <c r="BK89" s="33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7"/>
    </row>
    <row r="90" spans="42:101" s="4" customFormat="1" ht="80.099999999999994" customHeight="1">
      <c r="AP90" s="13"/>
      <c r="AU90" s="13"/>
      <c r="BC90" s="13"/>
      <c r="BI90" s="6"/>
      <c r="BJ90" s="6"/>
      <c r="BK90" s="33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7"/>
    </row>
    <row r="91" spans="42:101" s="4" customFormat="1" ht="80.099999999999994" customHeight="1">
      <c r="AP91" s="13"/>
      <c r="AU91" s="13"/>
      <c r="BC91" s="13"/>
      <c r="BI91" s="6"/>
      <c r="BJ91" s="6"/>
      <c r="BK91" s="33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7"/>
    </row>
    <row r="92" spans="42:101" s="4" customFormat="1" ht="80.099999999999994" customHeight="1">
      <c r="AP92" s="13"/>
      <c r="AU92" s="13"/>
      <c r="BC92" s="13"/>
      <c r="BI92" s="6"/>
      <c r="BJ92" s="6"/>
      <c r="BK92" s="33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7"/>
    </row>
    <row r="93" spans="42:101" s="4" customFormat="1" ht="80.099999999999994" customHeight="1">
      <c r="AP93" s="13"/>
      <c r="AU93" s="13"/>
      <c r="BC93" s="13"/>
      <c r="BI93" s="6"/>
      <c r="BJ93" s="6"/>
      <c r="BK93" s="33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7"/>
    </row>
    <row r="94" spans="42:101" s="4" customFormat="1" ht="80.099999999999994" customHeight="1">
      <c r="AP94" s="13"/>
      <c r="AU94" s="13"/>
      <c r="BC94" s="13"/>
      <c r="BI94" s="6"/>
      <c r="BJ94" s="6"/>
      <c r="BK94" s="33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7"/>
    </row>
    <row r="95" spans="42:101" s="4" customFormat="1" ht="80.099999999999994" customHeight="1">
      <c r="AP95" s="13"/>
      <c r="AU95" s="13"/>
      <c r="BC95" s="13"/>
      <c r="BI95" s="6"/>
      <c r="BJ95" s="6"/>
      <c r="BK95" s="33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7"/>
    </row>
    <row r="96" spans="42:101" s="4" customFormat="1" ht="80.099999999999994" customHeight="1">
      <c r="AP96" s="13"/>
      <c r="AU96" s="13"/>
      <c r="BC96" s="13"/>
      <c r="BI96" s="6"/>
      <c r="BJ96" s="6"/>
      <c r="BK96" s="33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7"/>
    </row>
    <row r="97" spans="42:101" s="4" customFormat="1" ht="80.099999999999994" customHeight="1">
      <c r="AP97" s="13"/>
      <c r="AU97" s="13"/>
      <c r="BC97" s="13"/>
      <c r="BI97" s="6"/>
      <c r="BJ97" s="6"/>
      <c r="BK97" s="33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7"/>
    </row>
    <row r="98" spans="42:101" s="4" customFormat="1" ht="80.099999999999994" customHeight="1">
      <c r="AP98" s="13"/>
      <c r="AU98" s="13"/>
      <c r="BC98" s="13"/>
      <c r="BI98" s="6"/>
      <c r="BJ98" s="6"/>
      <c r="BK98" s="33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7"/>
    </row>
    <row r="99" spans="42:101" s="4" customFormat="1" ht="80.099999999999994" customHeight="1">
      <c r="AP99" s="13"/>
      <c r="AU99" s="13"/>
      <c r="BC99" s="13"/>
      <c r="BI99" s="6"/>
      <c r="BJ99" s="6"/>
      <c r="BK99" s="33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7"/>
    </row>
    <row r="100" spans="42:101" s="4" customFormat="1" ht="80.099999999999994" customHeight="1">
      <c r="AP100" s="13"/>
      <c r="AU100" s="13"/>
      <c r="BC100" s="13"/>
      <c r="BI100" s="6"/>
      <c r="BJ100" s="6"/>
      <c r="BK100" s="33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7"/>
    </row>
    <row r="101" spans="42:101" s="4" customFormat="1" ht="80.099999999999994" customHeight="1">
      <c r="AP101" s="13"/>
      <c r="AU101" s="13"/>
      <c r="BC101" s="13"/>
      <c r="BI101" s="6"/>
      <c r="BJ101" s="6"/>
      <c r="BK101" s="33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7"/>
    </row>
    <row r="102" spans="42:101" s="4" customFormat="1" ht="80.099999999999994" customHeight="1">
      <c r="AP102" s="13"/>
      <c r="AU102" s="13"/>
      <c r="BC102" s="13"/>
      <c r="BI102" s="6"/>
      <c r="BJ102" s="6"/>
      <c r="BK102" s="33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7"/>
    </row>
    <row r="103" spans="42:101" s="4" customFormat="1" ht="80.099999999999994" customHeight="1">
      <c r="AP103" s="13"/>
      <c r="AU103" s="13"/>
      <c r="BC103" s="13"/>
      <c r="BI103" s="6"/>
      <c r="BJ103" s="6"/>
      <c r="BK103" s="33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7"/>
    </row>
    <row r="104" spans="42:101" s="4" customFormat="1" ht="80.099999999999994" customHeight="1">
      <c r="AP104" s="13"/>
      <c r="AU104" s="13"/>
      <c r="BC104" s="13"/>
      <c r="BI104" s="6"/>
      <c r="BJ104" s="6"/>
      <c r="BK104" s="33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7"/>
    </row>
    <row r="105" spans="42:101" s="4" customFormat="1" ht="80.099999999999994" customHeight="1">
      <c r="AP105" s="13"/>
      <c r="AU105" s="13"/>
      <c r="BC105" s="13"/>
      <c r="BI105" s="6"/>
      <c r="BJ105" s="6"/>
      <c r="BK105" s="33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7"/>
    </row>
    <row r="106" spans="42:101" s="4" customFormat="1" ht="80.099999999999994" customHeight="1">
      <c r="AP106" s="13"/>
      <c r="AU106" s="13"/>
      <c r="BC106" s="13"/>
      <c r="BI106" s="6"/>
      <c r="BJ106" s="6"/>
      <c r="BK106" s="33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7"/>
    </row>
    <row r="107" spans="42:101" s="4" customFormat="1" ht="80.099999999999994" customHeight="1">
      <c r="AP107" s="13"/>
      <c r="AU107" s="13"/>
      <c r="BC107" s="13"/>
      <c r="BI107" s="6"/>
      <c r="BJ107" s="6"/>
      <c r="BK107" s="33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7"/>
    </row>
    <row r="108" spans="42:101" s="4" customFormat="1" ht="80.099999999999994" customHeight="1">
      <c r="AP108" s="13"/>
      <c r="AU108" s="13"/>
      <c r="BC108" s="13"/>
      <c r="BI108" s="6"/>
      <c r="BJ108" s="6"/>
      <c r="BK108" s="33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7"/>
    </row>
    <row r="109" spans="42:101" s="4" customFormat="1" ht="80.099999999999994" customHeight="1">
      <c r="AP109" s="13"/>
      <c r="AU109" s="13"/>
      <c r="BC109" s="13"/>
      <c r="BI109" s="6"/>
      <c r="BJ109" s="6"/>
      <c r="BK109" s="33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7"/>
    </row>
    <row r="110" spans="42:101" s="4" customFormat="1" ht="80.099999999999994" customHeight="1">
      <c r="AP110" s="13"/>
      <c r="AU110" s="13"/>
      <c r="BC110" s="13"/>
      <c r="BI110" s="6"/>
      <c r="BJ110" s="6"/>
      <c r="BK110" s="33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7"/>
    </row>
    <row r="111" spans="42:101" s="4" customFormat="1" ht="80.099999999999994" customHeight="1">
      <c r="AP111" s="13"/>
      <c r="AU111" s="13"/>
      <c r="BC111" s="13"/>
      <c r="BI111" s="6"/>
      <c r="BJ111" s="6"/>
      <c r="BK111" s="33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7"/>
    </row>
    <row r="112" spans="42:101" s="4" customFormat="1" ht="80.099999999999994" customHeight="1">
      <c r="AP112" s="13"/>
      <c r="AU112" s="13"/>
      <c r="BC112" s="13"/>
      <c r="BI112" s="6"/>
      <c r="BJ112" s="6"/>
      <c r="BK112" s="33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7"/>
    </row>
    <row r="113" spans="42:101" s="4" customFormat="1" ht="80.099999999999994" customHeight="1">
      <c r="AP113" s="13"/>
      <c r="AU113" s="13"/>
      <c r="BC113" s="13"/>
      <c r="BI113" s="6"/>
      <c r="BJ113" s="6"/>
      <c r="BK113" s="33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7"/>
    </row>
    <row r="114" spans="42:101" s="4" customFormat="1" ht="80.099999999999994" customHeight="1">
      <c r="AP114" s="13"/>
      <c r="AU114" s="13"/>
      <c r="BC114" s="13"/>
      <c r="BI114" s="6"/>
      <c r="BJ114" s="6"/>
      <c r="BK114" s="33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7"/>
    </row>
    <row r="115" spans="42:101" s="4" customFormat="1" ht="80.099999999999994" customHeight="1">
      <c r="AP115" s="13"/>
      <c r="AU115" s="13"/>
      <c r="BC115" s="13"/>
      <c r="BI115" s="6"/>
      <c r="BJ115" s="6"/>
      <c r="BK115" s="33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7"/>
    </row>
    <row r="116" spans="42:101" s="4" customFormat="1" ht="80.099999999999994" customHeight="1">
      <c r="AP116" s="13"/>
      <c r="AU116" s="13"/>
      <c r="BC116" s="13"/>
      <c r="BI116" s="6"/>
      <c r="BJ116" s="6"/>
      <c r="BK116" s="33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7"/>
    </row>
    <row r="117" spans="42:101" s="4" customFormat="1" ht="80.099999999999994" customHeight="1">
      <c r="AP117" s="13"/>
      <c r="AU117" s="13"/>
      <c r="BC117" s="13"/>
      <c r="BI117" s="6"/>
      <c r="BJ117" s="6"/>
      <c r="BK117" s="33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7"/>
    </row>
    <row r="118" spans="42:101" s="4" customFormat="1" ht="80.099999999999994" customHeight="1">
      <c r="AP118" s="13"/>
      <c r="AU118" s="13"/>
      <c r="BC118" s="13"/>
      <c r="BI118" s="6"/>
      <c r="BJ118" s="6"/>
      <c r="BK118" s="33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7"/>
    </row>
    <row r="119" spans="42:101" s="4" customFormat="1" ht="80.099999999999994" customHeight="1">
      <c r="AP119" s="13"/>
      <c r="AU119" s="13"/>
      <c r="BC119" s="13"/>
      <c r="BI119" s="6"/>
      <c r="BJ119" s="6"/>
      <c r="BK119" s="33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7"/>
    </row>
    <row r="120" spans="42:101" s="4" customFormat="1" ht="80.099999999999994" customHeight="1">
      <c r="AP120" s="13"/>
      <c r="AU120" s="13"/>
      <c r="BC120" s="13"/>
      <c r="BI120" s="6"/>
      <c r="BJ120" s="6"/>
      <c r="BK120" s="33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7"/>
    </row>
    <row r="121" spans="42:101" s="4" customFormat="1" ht="80.099999999999994" customHeight="1">
      <c r="AP121" s="13"/>
      <c r="AU121" s="13"/>
      <c r="BC121" s="13"/>
      <c r="BI121" s="6"/>
      <c r="BJ121" s="6"/>
      <c r="BK121" s="33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7"/>
    </row>
    <row r="122" spans="42:101" s="4" customFormat="1" ht="80.099999999999994" customHeight="1">
      <c r="AP122" s="13"/>
      <c r="AU122" s="13"/>
      <c r="BC122" s="13"/>
      <c r="BI122" s="6"/>
      <c r="BJ122" s="6"/>
      <c r="BK122" s="33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7"/>
    </row>
    <row r="123" spans="42:101" s="4" customFormat="1" ht="80.099999999999994" customHeight="1">
      <c r="AP123" s="13"/>
      <c r="AU123" s="13"/>
      <c r="BC123" s="13"/>
      <c r="BI123" s="6"/>
      <c r="BJ123" s="6"/>
      <c r="BK123" s="33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7"/>
    </row>
    <row r="124" spans="42:101" s="4" customFormat="1" ht="80.099999999999994" customHeight="1">
      <c r="AP124" s="13"/>
      <c r="AU124" s="13"/>
      <c r="BC124" s="13"/>
      <c r="BI124" s="6"/>
      <c r="BJ124" s="6"/>
      <c r="BK124" s="33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7"/>
    </row>
    <row r="125" spans="42:101" s="4" customFormat="1" ht="80.099999999999994" customHeight="1">
      <c r="AP125" s="13"/>
      <c r="AU125" s="13"/>
      <c r="BC125" s="13"/>
      <c r="BI125" s="6"/>
      <c r="BJ125" s="6"/>
      <c r="BK125" s="33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7"/>
    </row>
    <row r="126" spans="42:101" s="4" customFormat="1" ht="80.099999999999994" customHeight="1">
      <c r="AP126" s="13"/>
      <c r="AU126" s="13"/>
      <c r="BC126" s="13"/>
      <c r="BI126" s="6"/>
      <c r="BJ126" s="6"/>
      <c r="BK126" s="33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7"/>
    </row>
    <row r="127" spans="42:101" s="4" customFormat="1" ht="80.099999999999994" customHeight="1">
      <c r="AP127" s="13"/>
      <c r="AU127" s="13"/>
      <c r="BC127" s="13"/>
      <c r="BI127" s="6"/>
      <c r="BJ127" s="6"/>
      <c r="BK127" s="33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7"/>
    </row>
    <row r="128" spans="42:101" s="4" customFormat="1" ht="80.099999999999994" customHeight="1">
      <c r="AP128" s="13"/>
      <c r="AU128" s="13"/>
      <c r="BC128" s="13"/>
      <c r="BI128" s="6"/>
      <c r="BJ128" s="6"/>
      <c r="BK128" s="33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7"/>
    </row>
    <row r="129" spans="42:101" s="4" customFormat="1" ht="80.099999999999994" customHeight="1">
      <c r="AP129" s="13"/>
      <c r="AU129" s="13"/>
      <c r="BC129" s="13"/>
      <c r="BI129" s="6"/>
      <c r="BJ129" s="6"/>
      <c r="BK129" s="33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7"/>
    </row>
    <row r="130" spans="42:101" s="4" customFormat="1" ht="80.099999999999994" customHeight="1">
      <c r="AP130" s="13"/>
      <c r="AU130" s="13"/>
      <c r="BC130" s="13"/>
      <c r="BI130" s="6"/>
      <c r="BJ130" s="6"/>
      <c r="BK130" s="33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7"/>
    </row>
    <row r="131" spans="42:101" s="4" customFormat="1" ht="80.099999999999994" customHeight="1">
      <c r="AP131" s="13"/>
      <c r="AU131" s="13"/>
      <c r="BC131" s="13"/>
      <c r="BI131" s="6"/>
      <c r="BJ131" s="6"/>
      <c r="BK131" s="33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7"/>
    </row>
    <row r="132" spans="42:101" s="4" customFormat="1" ht="80.099999999999994" customHeight="1">
      <c r="AP132" s="13"/>
      <c r="AU132" s="13"/>
      <c r="BC132" s="13"/>
      <c r="BI132" s="6"/>
      <c r="BJ132" s="6"/>
      <c r="BK132" s="33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7"/>
    </row>
    <row r="133" spans="42:101" s="4" customFormat="1" ht="80.099999999999994" customHeight="1">
      <c r="AP133" s="13"/>
      <c r="AU133" s="13"/>
      <c r="BC133" s="13"/>
      <c r="BI133" s="6"/>
      <c r="BJ133" s="6"/>
      <c r="BK133" s="33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7"/>
    </row>
    <row r="134" spans="42:101" s="4" customFormat="1" ht="80.099999999999994" customHeight="1">
      <c r="AP134" s="13"/>
      <c r="AU134" s="13"/>
      <c r="BC134" s="13"/>
      <c r="BI134" s="6"/>
      <c r="BJ134" s="6"/>
      <c r="BK134" s="33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7"/>
    </row>
    <row r="135" spans="42:101" s="4" customFormat="1" ht="80.099999999999994" customHeight="1">
      <c r="AP135" s="13"/>
      <c r="AU135" s="13"/>
      <c r="BC135" s="13"/>
      <c r="BI135" s="6"/>
      <c r="BJ135" s="6"/>
      <c r="BK135" s="33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7"/>
    </row>
    <row r="136" spans="42:101" s="4" customFormat="1" ht="80.099999999999994" customHeight="1">
      <c r="AP136" s="13"/>
      <c r="AU136" s="13"/>
      <c r="BC136" s="13"/>
      <c r="BI136" s="6"/>
      <c r="BJ136" s="6"/>
      <c r="BK136" s="33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7"/>
    </row>
    <row r="137" spans="42:101" s="4" customFormat="1" ht="80.099999999999994" customHeight="1">
      <c r="AP137" s="13"/>
      <c r="AU137" s="13"/>
      <c r="BC137" s="13"/>
      <c r="BI137" s="6"/>
      <c r="BJ137" s="6"/>
      <c r="BK137" s="33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7"/>
    </row>
    <row r="138" spans="42:101" s="4" customFormat="1" ht="80.099999999999994" customHeight="1">
      <c r="AP138" s="13"/>
      <c r="AU138" s="13"/>
      <c r="BC138" s="13"/>
      <c r="BI138" s="6"/>
      <c r="BJ138" s="6"/>
      <c r="BK138" s="33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7"/>
    </row>
    <row r="139" spans="42:101" s="4" customFormat="1" ht="80.099999999999994" customHeight="1">
      <c r="AP139" s="13"/>
      <c r="AU139" s="13"/>
      <c r="BC139" s="13"/>
      <c r="BI139" s="6"/>
      <c r="BJ139" s="6"/>
      <c r="BK139" s="33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7"/>
    </row>
    <row r="140" spans="42:101" s="4" customFormat="1" ht="80.099999999999994" customHeight="1">
      <c r="AP140" s="13"/>
      <c r="AU140" s="13"/>
      <c r="BC140" s="13"/>
      <c r="BI140" s="6"/>
      <c r="BJ140" s="6"/>
      <c r="BK140" s="33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7"/>
    </row>
    <row r="141" spans="42:101" s="4" customFormat="1" ht="80.099999999999994" customHeight="1">
      <c r="AP141" s="13"/>
      <c r="AU141" s="13"/>
      <c r="BC141" s="13"/>
      <c r="BI141" s="6"/>
      <c r="BJ141" s="6"/>
      <c r="BK141" s="33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7"/>
    </row>
    <row r="142" spans="42:101" s="4" customFormat="1" ht="80.099999999999994" customHeight="1">
      <c r="AP142" s="13"/>
      <c r="AU142" s="13"/>
      <c r="BC142" s="13"/>
      <c r="BI142" s="6"/>
      <c r="BJ142" s="6"/>
      <c r="BK142" s="33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7"/>
    </row>
    <row r="143" spans="42:101" s="4" customFormat="1" ht="80.099999999999994" customHeight="1">
      <c r="AP143" s="13"/>
      <c r="AU143" s="13"/>
      <c r="BC143" s="13"/>
      <c r="BI143" s="6"/>
      <c r="BJ143" s="6"/>
      <c r="BK143" s="33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7"/>
    </row>
    <row r="144" spans="42:101" s="4" customFormat="1" ht="80.099999999999994" customHeight="1">
      <c r="AP144" s="13"/>
      <c r="AU144" s="13"/>
      <c r="BC144" s="13"/>
      <c r="BI144" s="6"/>
      <c r="BJ144" s="6"/>
      <c r="BK144" s="33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7"/>
    </row>
    <row r="145" spans="42:101" s="4" customFormat="1" ht="80.099999999999994" customHeight="1">
      <c r="AP145" s="13"/>
      <c r="AU145" s="13"/>
      <c r="BC145" s="13"/>
      <c r="BI145" s="6"/>
      <c r="BJ145" s="6"/>
      <c r="BK145" s="33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7"/>
    </row>
    <row r="146" spans="42:101" s="4" customFormat="1" ht="80.099999999999994" customHeight="1">
      <c r="AP146" s="13"/>
      <c r="AU146" s="13"/>
      <c r="BC146" s="13"/>
      <c r="BI146" s="6"/>
      <c r="BJ146" s="6"/>
      <c r="BK146" s="33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7"/>
    </row>
    <row r="147" spans="42:101" s="4" customFormat="1" ht="80.099999999999994" customHeight="1">
      <c r="AP147" s="13"/>
      <c r="AU147" s="13"/>
      <c r="BC147" s="13"/>
      <c r="BI147" s="6"/>
      <c r="BJ147" s="6"/>
      <c r="BK147" s="33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7"/>
    </row>
    <row r="148" spans="42:101" s="4" customFormat="1" ht="80.099999999999994" customHeight="1">
      <c r="AP148" s="13"/>
      <c r="AU148" s="13"/>
      <c r="BC148" s="13"/>
      <c r="BI148" s="6"/>
      <c r="BJ148" s="6"/>
      <c r="BK148" s="33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7"/>
    </row>
    <row r="149" spans="42:101" s="4" customFormat="1" ht="80.099999999999994" customHeight="1">
      <c r="AP149" s="13"/>
      <c r="AU149" s="13"/>
      <c r="BC149" s="13"/>
      <c r="BI149" s="6"/>
      <c r="BJ149" s="6"/>
      <c r="BK149" s="33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7"/>
    </row>
    <row r="150" spans="42:101" s="4" customFormat="1" ht="80.099999999999994" customHeight="1">
      <c r="AP150" s="13"/>
      <c r="AU150" s="13"/>
      <c r="BC150" s="13"/>
      <c r="BI150" s="6"/>
      <c r="BJ150" s="6"/>
      <c r="BK150" s="33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7"/>
    </row>
    <row r="151" spans="42:101" s="4" customFormat="1" ht="80.099999999999994" customHeight="1">
      <c r="AP151" s="13"/>
      <c r="AU151" s="13"/>
      <c r="BC151" s="13"/>
      <c r="BI151" s="6"/>
      <c r="BJ151" s="6"/>
      <c r="BK151" s="33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7"/>
    </row>
    <row r="152" spans="42:101" s="4" customFormat="1" ht="80.099999999999994" customHeight="1">
      <c r="AP152" s="13"/>
      <c r="AU152" s="13"/>
      <c r="BC152" s="13"/>
      <c r="BI152" s="6"/>
      <c r="BJ152" s="6"/>
      <c r="BK152" s="33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7"/>
    </row>
    <row r="153" spans="42:101" s="4" customFormat="1" ht="80.099999999999994" customHeight="1">
      <c r="AP153" s="13"/>
      <c r="AU153" s="13"/>
      <c r="BC153" s="13"/>
      <c r="BI153" s="6"/>
      <c r="BJ153" s="6"/>
      <c r="BK153" s="33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7"/>
    </row>
    <row r="154" spans="42:101" s="4" customFormat="1" ht="80.099999999999994" customHeight="1">
      <c r="AP154" s="13"/>
      <c r="AU154" s="13"/>
      <c r="BC154" s="13"/>
      <c r="BI154" s="6"/>
      <c r="BJ154" s="6"/>
      <c r="BK154" s="33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7"/>
    </row>
    <row r="155" spans="42:101" s="4" customFormat="1" ht="80.099999999999994" customHeight="1">
      <c r="AP155" s="13"/>
      <c r="AU155" s="13"/>
      <c r="BC155" s="13"/>
      <c r="BI155" s="6"/>
      <c r="BJ155" s="6"/>
      <c r="BK155" s="33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7"/>
    </row>
    <row r="156" spans="42:101" s="4" customFormat="1" ht="80.099999999999994" customHeight="1">
      <c r="AP156" s="13"/>
      <c r="AU156" s="13"/>
      <c r="BC156" s="13"/>
      <c r="BI156" s="6"/>
      <c r="BJ156" s="6"/>
      <c r="BK156" s="33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7"/>
    </row>
    <row r="157" spans="42:101" s="4" customFormat="1" ht="80.099999999999994" customHeight="1">
      <c r="AP157" s="13"/>
      <c r="AU157" s="13"/>
      <c r="BC157" s="13"/>
      <c r="BI157" s="6"/>
      <c r="BJ157" s="6"/>
      <c r="BK157" s="33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7"/>
    </row>
    <row r="158" spans="42:101" s="4" customFormat="1" ht="80.099999999999994" customHeight="1">
      <c r="AP158" s="13"/>
      <c r="AU158" s="13"/>
      <c r="BC158" s="13"/>
      <c r="BI158" s="6"/>
      <c r="BJ158" s="6"/>
      <c r="BK158" s="33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7"/>
    </row>
    <row r="159" spans="42:101" s="4" customFormat="1" ht="80.099999999999994" customHeight="1">
      <c r="AP159" s="13"/>
      <c r="AU159" s="13"/>
      <c r="BC159" s="13"/>
      <c r="BI159" s="6"/>
      <c r="BJ159" s="6"/>
      <c r="BK159" s="33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7"/>
    </row>
    <row r="160" spans="42:101" s="4" customFormat="1" ht="80.099999999999994" customHeight="1">
      <c r="AP160" s="13"/>
      <c r="AU160" s="13"/>
      <c r="BC160" s="13"/>
      <c r="BI160" s="6"/>
      <c r="BJ160" s="6"/>
      <c r="BK160" s="33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7"/>
    </row>
    <row r="161" spans="42:101" s="4" customFormat="1" ht="80.099999999999994" customHeight="1">
      <c r="AP161" s="13"/>
      <c r="AU161" s="13"/>
      <c r="BC161" s="13"/>
      <c r="BI161" s="6"/>
      <c r="BJ161" s="6"/>
      <c r="BK161" s="33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7"/>
    </row>
    <row r="162" spans="42:101" s="4" customFormat="1" ht="80.099999999999994" customHeight="1">
      <c r="AP162" s="13"/>
      <c r="AU162" s="13"/>
      <c r="BC162" s="13"/>
      <c r="BI162" s="6"/>
      <c r="BJ162" s="6"/>
      <c r="BK162" s="33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7"/>
    </row>
    <row r="163" spans="42:101" s="4" customFormat="1" ht="80.099999999999994" customHeight="1">
      <c r="AP163" s="13"/>
      <c r="AU163" s="13"/>
      <c r="BC163" s="13"/>
      <c r="BI163" s="6"/>
      <c r="BJ163" s="6"/>
      <c r="BK163" s="33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7"/>
    </row>
    <row r="164" spans="42:101" s="4" customFormat="1" ht="80.099999999999994" customHeight="1">
      <c r="AP164" s="13"/>
      <c r="AU164" s="13"/>
      <c r="BC164" s="13"/>
      <c r="BI164" s="6"/>
      <c r="BJ164" s="6"/>
      <c r="BK164" s="33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7"/>
    </row>
    <row r="165" spans="42:101" s="4" customFormat="1" ht="80.099999999999994" customHeight="1">
      <c r="AP165" s="13"/>
      <c r="AU165" s="13"/>
      <c r="BC165" s="13"/>
      <c r="BI165" s="6"/>
      <c r="BJ165" s="6"/>
      <c r="BK165" s="33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7"/>
    </row>
    <row r="166" spans="42:101" s="4" customFormat="1" ht="80.099999999999994" customHeight="1">
      <c r="AP166" s="13"/>
      <c r="AU166" s="13"/>
      <c r="BC166" s="13"/>
      <c r="BI166" s="6"/>
      <c r="BJ166" s="6"/>
      <c r="BK166" s="33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7"/>
    </row>
    <row r="167" spans="42:101" s="4" customFormat="1">
      <c r="AP167" s="13"/>
      <c r="AU167" s="13"/>
      <c r="BC167" s="13"/>
      <c r="BI167" s="6"/>
      <c r="BJ167" s="6"/>
      <c r="BK167" s="33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7"/>
    </row>
    <row r="168" spans="42:101" s="4" customFormat="1">
      <c r="AP168" s="13"/>
      <c r="AU168" s="13"/>
      <c r="BC168" s="13"/>
      <c r="BI168" s="6"/>
      <c r="BJ168" s="6"/>
      <c r="BK168" s="33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7"/>
    </row>
    <row r="169" spans="42:101" s="4" customFormat="1">
      <c r="AP169" s="13"/>
      <c r="AU169" s="13"/>
      <c r="BC169" s="13"/>
      <c r="BI169" s="6"/>
      <c r="BJ169" s="6"/>
      <c r="BK169" s="33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7"/>
    </row>
    <row r="170" spans="42:101" s="4" customFormat="1">
      <c r="AP170" s="13"/>
      <c r="AU170" s="13"/>
      <c r="BC170" s="13"/>
      <c r="BI170" s="6"/>
      <c r="BJ170" s="6"/>
      <c r="BK170" s="33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7"/>
    </row>
    <row r="171" spans="42:101" s="4" customFormat="1">
      <c r="AP171" s="13"/>
      <c r="AU171" s="13"/>
      <c r="BC171" s="13"/>
      <c r="BI171" s="6"/>
      <c r="BJ171" s="6"/>
      <c r="BK171" s="33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7"/>
    </row>
    <row r="172" spans="42:101" s="4" customFormat="1">
      <c r="AP172" s="13"/>
      <c r="AU172" s="13"/>
      <c r="BC172" s="13"/>
      <c r="BI172" s="6"/>
      <c r="BJ172" s="6"/>
      <c r="BK172" s="33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7"/>
    </row>
    <row r="173" spans="42:101" s="4" customFormat="1">
      <c r="AP173" s="13"/>
      <c r="AU173" s="13"/>
      <c r="BC173" s="13"/>
      <c r="BI173" s="6"/>
      <c r="BJ173" s="6"/>
      <c r="BK173" s="33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7"/>
    </row>
    <row r="174" spans="42:101" s="4" customFormat="1">
      <c r="AP174" s="13"/>
      <c r="AU174" s="13"/>
      <c r="BC174" s="13"/>
      <c r="BI174" s="6"/>
      <c r="BJ174" s="6"/>
      <c r="BK174" s="33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7"/>
    </row>
    <row r="175" spans="42:101" s="4" customFormat="1">
      <c r="AP175" s="13"/>
      <c r="AU175" s="13"/>
      <c r="BC175" s="13"/>
      <c r="BI175" s="6"/>
      <c r="BJ175" s="6"/>
      <c r="BK175" s="33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7"/>
    </row>
    <row r="176" spans="42:101" s="4" customFormat="1">
      <c r="AP176" s="13"/>
      <c r="AU176" s="13"/>
      <c r="BC176" s="13"/>
      <c r="BI176" s="6"/>
      <c r="BJ176" s="6"/>
      <c r="BK176" s="33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7"/>
    </row>
    <row r="177" spans="42:101" s="4" customFormat="1">
      <c r="AP177" s="13"/>
      <c r="AU177" s="13"/>
      <c r="BC177" s="13"/>
      <c r="BI177" s="6"/>
      <c r="BJ177" s="6"/>
      <c r="BK177" s="33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7"/>
    </row>
    <row r="178" spans="42:101" s="4" customFormat="1">
      <c r="AP178" s="13"/>
      <c r="AU178" s="13"/>
      <c r="BC178" s="13"/>
      <c r="BI178" s="6"/>
      <c r="BJ178" s="6"/>
      <c r="BK178" s="33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7"/>
    </row>
    <row r="179" spans="42:101" s="4" customFormat="1">
      <c r="AP179" s="13"/>
      <c r="AU179" s="13"/>
      <c r="BC179" s="13"/>
      <c r="BI179" s="6"/>
      <c r="BJ179" s="6"/>
      <c r="BK179" s="33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7"/>
    </row>
    <row r="180" spans="42:101" s="4" customFormat="1">
      <c r="AP180" s="13"/>
      <c r="AU180" s="13"/>
      <c r="BC180" s="13"/>
      <c r="BI180" s="6"/>
      <c r="BJ180" s="6"/>
      <c r="BK180" s="33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7"/>
    </row>
    <row r="181" spans="42:101" s="4" customFormat="1">
      <c r="AP181" s="13"/>
      <c r="AU181" s="13"/>
      <c r="BC181" s="13"/>
      <c r="BI181" s="6"/>
      <c r="BJ181" s="6"/>
      <c r="BK181" s="33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7"/>
    </row>
    <row r="182" spans="42:101" s="4" customFormat="1">
      <c r="AP182" s="13"/>
      <c r="AU182" s="13"/>
      <c r="BC182" s="13"/>
      <c r="BI182" s="6"/>
      <c r="BJ182" s="6"/>
      <c r="BK182" s="33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7"/>
    </row>
    <row r="183" spans="42:101" s="4" customFormat="1">
      <c r="AP183" s="13"/>
      <c r="AU183" s="13"/>
      <c r="BC183" s="13"/>
      <c r="BI183" s="6"/>
      <c r="BJ183" s="6"/>
      <c r="BK183" s="33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7"/>
    </row>
    <row r="184" spans="42:101" s="4" customFormat="1">
      <c r="AP184" s="13"/>
      <c r="AU184" s="13"/>
      <c r="BC184" s="13"/>
      <c r="BI184" s="6"/>
      <c r="BJ184" s="6"/>
      <c r="BK184" s="33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7"/>
    </row>
    <row r="185" spans="42:101" s="4" customFormat="1">
      <c r="AP185" s="13"/>
      <c r="AU185" s="13"/>
      <c r="BC185" s="13"/>
      <c r="BI185" s="6"/>
      <c r="BJ185" s="6"/>
      <c r="BK185" s="33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7"/>
    </row>
    <row r="186" spans="42:101" s="4" customFormat="1">
      <c r="AP186" s="13"/>
      <c r="AU186" s="13"/>
      <c r="BC186" s="13"/>
      <c r="BI186" s="6"/>
      <c r="BJ186" s="6"/>
      <c r="BK186" s="33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7"/>
    </row>
    <row r="187" spans="42:101" s="4" customFormat="1">
      <c r="AP187" s="13"/>
      <c r="AU187" s="13"/>
      <c r="BC187" s="13"/>
      <c r="BI187" s="6"/>
      <c r="BJ187" s="6"/>
      <c r="BK187" s="33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7"/>
    </row>
    <row r="188" spans="42:101" s="4" customFormat="1">
      <c r="AP188" s="13"/>
      <c r="AU188" s="13"/>
      <c r="BC188" s="13"/>
      <c r="BI188" s="6"/>
      <c r="BJ188" s="6"/>
      <c r="BK188" s="33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7"/>
    </row>
    <row r="189" spans="42:101" s="4" customFormat="1">
      <c r="AP189" s="13"/>
      <c r="AU189" s="13"/>
      <c r="BC189" s="13"/>
      <c r="BI189" s="6"/>
      <c r="BJ189" s="6"/>
      <c r="BK189" s="33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7"/>
    </row>
    <row r="190" spans="42:101" s="4" customFormat="1">
      <c r="AP190" s="13"/>
      <c r="AU190" s="13"/>
      <c r="BC190" s="13"/>
      <c r="BI190" s="6"/>
      <c r="BJ190" s="6"/>
      <c r="BK190" s="33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7"/>
    </row>
    <row r="191" spans="42:101" s="4" customFormat="1">
      <c r="AP191" s="13"/>
      <c r="AU191" s="13"/>
      <c r="BC191" s="13"/>
      <c r="BI191" s="6"/>
      <c r="BJ191" s="6"/>
      <c r="BK191" s="33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7"/>
    </row>
    <row r="192" spans="42:101" s="4" customFormat="1">
      <c r="AP192" s="13"/>
      <c r="AU192" s="13"/>
      <c r="BC192" s="13"/>
      <c r="BI192" s="6"/>
      <c r="BJ192" s="6"/>
      <c r="BK192" s="33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7"/>
    </row>
    <row r="193" spans="42:101" s="4" customFormat="1">
      <c r="AP193" s="13"/>
      <c r="AU193" s="13"/>
      <c r="BC193" s="13"/>
      <c r="BI193" s="6"/>
      <c r="BJ193" s="6"/>
      <c r="BK193" s="33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7"/>
    </row>
    <row r="194" spans="42:101" s="4" customFormat="1">
      <c r="AP194" s="13"/>
      <c r="AU194" s="13"/>
      <c r="BC194" s="13"/>
      <c r="BI194" s="6"/>
      <c r="BJ194" s="6"/>
      <c r="BK194" s="33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7"/>
    </row>
    <row r="195" spans="42:101" s="4" customFormat="1">
      <c r="AP195" s="13"/>
      <c r="AU195" s="13"/>
      <c r="BC195" s="13"/>
      <c r="BI195" s="6"/>
      <c r="BJ195" s="6"/>
      <c r="BK195" s="33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7"/>
    </row>
    <row r="196" spans="42:101" s="4" customFormat="1">
      <c r="AP196" s="13"/>
      <c r="AU196" s="13"/>
      <c r="BC196" s="13"/>
      <c r="BI196" s="6"/>
      <c r="BJ196" s="6"/>
      <c r="BK196" s="33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7"/>
    </row>
    <row r="197" spans="42:101" s="4" customFormat="1">
      <c r="AP197" s="13"/>
      <c r="AU197" s="13"/>
      <c r="BC197" s="13"/>
      <c r="BI197" s="6"/>
      <c r="BJ197" s="6"/>
      <c r="BK197" s="33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7"/>
    </row>
    <row r="198" spans="42:101" s="4" customFormat="1">
      <c r="AP198" s="13"/>
      <c r="AU198" s="13"/>
      <c r="BC198" s="13"/>
      <c r="BI198" s="6"/>
      <c r="BJ198" s="6"/>
      <c r="BK198" s="33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7"/>
    </row>
    <row r="199" spans="42:101" s="4" customFormat="1">
      <c r="AP199" s="13"/>
      <c r="AU199" s="13"/>
      <c r="BC199" s="13"/>
      <c r="BI199" s="6"/>
      <c r="BJ199" s="6"/>
      <c r="BK199" s="33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7"/>
    </row>
    <row r="200" spans="42:101" s="4" customFormat="1">
      <c r="AP200" s="13"/>
      <c r="AU200" s="13"/>
      <c r="BC200" s="13"/>
      <c r="BI200" s="6"/>
      <c r="BJ200" s="6"/>
      <c r="BK200" s="33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7"/>
    </row>
    <row r="201" spans="42:101" s="4" customFormat="1">
      <c r="AP201" s="13"/>
      <c r="AU201" s="13"/>
      <c r="BC201" s="13"/>
      <c r="BI201" s="6"/>
      <c r="BJ201" s="6"/>
      <c r="BK201" s="33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7"/>
    </row>
    <row r="202" spans="42:101" s="4" customFormat="1">
      <c r="AP202" s="13"/>
      <c r="AU202" s="13"/>
      <c r="BC202" s="13"/>
      <c r="BI202" s="6"/>
      <c r="BJ202" s="6"/>
      <c r="BK202" s="33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7"/>
    </row>
    <row r="203" spans="42:101" s="4" customFormat="1">
      <c r="AP203" s="13"/>
      <c r="AU203" s="13"/>
      <c r="BC203" s="13"/>
      <c r="BI203" s="6"/>
      <c r="BJ203" s="6"/>
      <c r="BK203" s="33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7"/>
    </row>
    <row r="204" spans="42:101" s="4" customFormat="1">
      <c r="AP204" s="13"/>
      <c r="AU204" s="13"/>
      <c r="BC204" s="13"/>
      <c r="BI204" s="6"/>
      <c r="BJ204" s="6"/>
      <c r="BK204" s="33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7"/>
    </row>
    <row r="205" spans="42:101" s="4" customFormat="1">
      <c r="AP205" s="13"/>
      <c r="AU205" s="13"/>
      <c r="BC205" s="13"/>
      <c r="BI205" s="6"/>
      <c r="BJ205" s="6"/>
      <c r="BK205" s="33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7"/>
    </row>
    <row r="206" spans="42:101" s="4" customFormat="1">
      <c r="AP206" s="13"/>
      <c r="AU206" s="13"/>
      <c r="BC206" s="13"/>
      <c r="BI206" s="6"/>
      <c r="BJ206" s="6"/>
      <c r="BK206" s="33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7"/>
    </row>
    <row r="207" spans="42:101" s="4" customFormat="1">
      <c r="AP207" s="13"/>
      <c r="AU207" s="13"/>
      <c r="BC207" s="13"/>
      <c r="BI207" s="6"/>
      <c r="BJ207" s="6"/>
      <c r="BK207" s="33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7"/>
    </row>
    <row r="208" spans="42:101" s="4" customFormat="1">
      <c r="AP208" s="13"/>
      <c r="AU208" s="13"/>
      <c r="BC208" s="13"/>
      <c r="BI208" s="6"/>
      <c r="BJ208" s="6"/>
      <c r="BK208" s="33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7"/>
    </row>
    <row r="209" spans="42:101" s="4" customFormat="1">
      <c r="AP209" s="13"/>
      <c r="AU209" s="13"/>
      <c r="BC209" s="13"/>
      <c r="BI209" s="6"/>
      <c r="BJ209" s="6"/>
      <c r="BK209" s="33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7"/>
    </row>
    <row r="210" spans="42:101" s="4" customFormat="1">
      <c r="AP210" s="13"/>
      <c r="AU210" s="13"/>
      <c r="BC210" s="13"/>
      <c r="BI210" s="6"/>
      <c r="BJ210" s="6"/>
      <c r="BK210" s="33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7"/>
    </row>
    <row r="211" spans="42:101" s="4" customFormat="1">
      <c r="AP211" s="13"/>
      <c r="AU211" s="13"/>
      <c r="BC211" s="13"/>
      <c r="BI211" s="6"/>
      <c r="BJ211" s="6"/>
      <c r="BK211" s="33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7"/>
    </row>
    <row r="212" spans="42:101" s="4" customFormat="1">
      <c r="AP212" s="13"/>
      <c r="AU212" s="13"/>
      <c r="BC212" s="13"/>
      <c r="BI212" s="6"/>
      <c r="BJ212" s="6"/>
      <c r="BK212" s="33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7"/>
    </row>
    <row r="213" spans="42:101" s="4" customFormat="1">
      <c r="AP213" s="13"/>
      <c r="AU213" s="13"/>
      <c r="BC213" s="13"/>
      <c r="BI213" s="6"/>
      <c r="BJ213" s="6"/>
      <c r="BK213" s="33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7"/>
    </row>
    <row r="214" spans="42:101" s="4" customFormat="1">
      <c r="AP214" s="13"/>
      <c r="AU214" s="13"/>
      <c r="BC214" s="13"/>
      <c r="BI214" s="6"/>
      <c r="BJ214" s="6"/>
      <c r="BK214" s="33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7"/>
    </row>
    <row r="215" spans="42:101" s="4" customFormat="1">
      <c r="AP215" s="13"/>
      <c r="AU215" s="13"/>
      <c r="BC215" s="13"/>
      <c r="BI215" s="6"/>
      <c r="BJ215" s="6"/>
      <c r="BK215" s="33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7"/>
    </row>
    <row r="216" spans="42:101" s="4" customFormat="1">
      <c r="AP216" s="13"/>
      <c r="AU216" s="13"/>
      <c r="BC216" s="13"/>
      <c r="BI216" s="6"/>
      <c r="BJ216" s="6"/>
      <c r="BK216" s="33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7"/>
    </row>
    <row r="217" spans="42:101" s="4" customFormat="1">
      <c r="AP217" s="13"/>
      <c r="AU217" s="13"/>
      <c r="BC217" s="13"/>
      <c r="BI217" s="6"/>
      <c r="BJ217" s="6"/>
      <c r="BK217" s="33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7"/>
    </row>
    <row r="218" spans="42:101" s="4" customFormat="1">
      <c r="AP218" s="13"/>
      <c r="AU218" s="13"/>
      <c r="BC218" s="13"/>
      <c r="BI218" s="6"/>
      <c r="BJ218" s="6"/>
      <c r="BK218" s="33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7"/>
    </row>
    <row r="219" spans="42:101" s="4" customFormat="1">
      <c r="AP219" s="13"/>
      <c r="AU219" s="13"/>
      <c r="BC219" s="13"/>
      <c r="BI219" s="6"/>
      <c r="BJ219" s="6"/>
      <c r="BK219" s="33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7"/>
    </row>
    <row r="220" spans="42:101" s="4" customFormat="1">
      <c r="AP220" s="13"/>
      <c r="AU220" s="13"/>
      <c r="BC220" s="13"/>
      <c r="BI220" s="6"/>
      <c r="BJ220" s="6"/>
      <c r="BK220" s="33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7"/>
    </row>
    <row r="221" spans="42:101" s="4" customFormat="1">
      <c r="AP221" s="13"/>
      <c r="AU221" s="13"/>
      <c r="BC221" s="13"/>
      <c r="BI221" s="6"/>
      <c r="BJ221" s="6"/>
      <c r="BK221" s="33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7"/>
    </row>
    <row r="222" spans="42:101" s="4" customFormat="1">
      <c r="AP222" s="13"/>
      <c r="AU222" s="13"/>
      <c r="BC222" s="13"/>
      <c r="BI222" s="6"/>
      <c r="BJ222" s="6"/>
      <c r="BK222" s="33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7"/>
    </row>
    <row r="223" spans="42:101" s="4" customFormat="1">
      <c r="AP223" s="13"/>
      <c r="AU223" s="13"/>
      <c r="BC223" s="13"/>
      <c r="BI223" s="6"/>
      <c r="BJ223" s="6"/>
      <c r="BK223" s="33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7"/>
    </row>
    <row r="224" spans="42:101" s="4" customFormat="1">
      <c r="AP224" s="13"/>
      <c r="AU224" s="13"/>
      <c r="BC224" s="13"/>
      <c r="BI224" s="6"/>
      <c r="BJ224" s="6"/>
      <c r="BK224" s="33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7"/>
    </row>
    <row r="225" spans="42:101" s="4" customFormat="1">
      <c r="AP225" s="13"/>
      <c r="AU225" s="13"/>
      <c r="BC225" s="13"/>
      <c r="BI225" s="6"/>
      <c r="BJ225" s="6"/>
      <c r="BK225" s="33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7"/>
    </row>
    <row r="226" spans="42:101" s="4" customFormat="1">
      <c r="AP226" s="13"/>
      <c r="AU226" s="13"/>
      <c r="BC226" s="13"/>
      <c r="BI226" s="6"/>
      <c r="BJ226" s="6"/>
      <c r="BK226" s="33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7"/>
    </row>
    <row r="227" spans="42:101" s="4" customFormat="1">
      <c r="AP227" s="13"/>
      <c r="AU227" s="13"/>
      <c r="BC227" s="13"/>
      <c r="BI227" s="6"/>
      <c r="BJ227" s="6"/>
      <c r="BK227" s="33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7"/>
    </row>
    <row r="228" spans="42:101" s="4" customFormat="1">
      <c r="AP228" s="13"/>
      <c r="AU228" s="13"/>
      <c r="BC228" s="13"/>
      <c r="BI228" s="6"/>
      <c r="BJ228" s="6"/>
      <c r="BK228" s="33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7"/>
    </row>
    <row r="229" spans="42:101" s="4" customFormat="1">
      <c r="AP229" s="13"/>
      <c r="AU229" s="13"/>
      <c r="BC229" s="13"/>
      <c r="BI229" s="6"/>
      <c r="BJ229" s="6"/>
      <c r="BK229" s="33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7"/>
    </row>
    <row r="230" spans="42:101" s="4" customFormat="1">
      <c r="AP230" s="13"/>
      <c r="AU230" s="13"/>
      <c r="BC230" s="13"/>
      <c r="BI230" s="6"/>
      <c r="BJ230" s="6"/>
      <c r="BK230" s="33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7"/>
    </row>
    <row r="231" spans="42:101" s="4" customFormat="1">
      <c r="AP231" s="13"/>
      <c r="AU231" s="13"/>
      <c r="BC231" s="13"/>
      <c r="BI231" s="6"/>
      <c r="BJ231" s="6"/>
      <c r="BK231" s="33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7"/>
    </row>
    <row r="232" spans="42:101" s="4" customFormat="1">
      <c r="AP232" s="13"/>
      <c r="AU232" s="13"/>
      <c r="BC232" s="13"/>
      <c r="BI232" s="6"/>
      <c r="BJ232" s="6"/>
      <c r="BK232" s="33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7"/>
    </row>
    <row r="233" spans="42:101" s="4" customFormat="1">
      <c r="AP233" s="13"/>
      <c r="AU233" s="13"/>
      <c r="BC233" s="13"/>
      <c r="BI233" s="6"/>
      <c r="BJ233" s="6"/>
      <c r="BK233" s="33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7"/>
    </row>
    <row r="234" spans="42:101" s="4" customFormat="1">
      <c r="AP234" s="13"/>
      <c r="AU234" s="13"/>
      <c r="BC234" s="13"/>
      <c r="BI234" s="6"/>
      <c r="BJ234" s="6"/>
      <c r="BK234" s="33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7"/>
    </row>
    <row r="235" spans="42:101" s="4" customFormat="1">
      <c r="AP235" s="13"/>
      <c r="AU235" s="13"/>
      <c r="BC235" s="13"/>
      <c r="BI235" s="6"/>
      <c r="BJ235" s="6"/>
      <c r="BK235" s="33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7"/>
    </row>
    <row r="236" spans="42:101" s="4" customFormat="1">
      <c r="AP236" s="13"/>
      <c r="AU236" s="13"/>
      <c r="BC236" s="13"/>
      <c r="BI236" s="6"/>
      <c r="BJ236" s="6"/>
      <c r="BK236" s="33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7"/>
    </row>
    <row r="237" spans="42:101" s="4" customFormat="1">
      <c r="AP237" s="13"/>
      <c r="AU237" s="13"/>
      <c r="BC237" s="13"/>
      <c r="BI237" s="6"/>
      <c r="BJ237" s="6"/>
      <c r="BK237" s="33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7"/>
    </row>
    <row r="238" spans="42:101" s="4" customFormat="1">
      <c r="AP238" s="13"/>
      <c r="AU238" s="13"/>
      <c r="BC238" s="13"/>
      <c r="BI238" s="6"/>
      <c r="BJ238" s="6"/>
      <c r="BK238" s="33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7"/>
    </row>
    <row r="239" spans="42:101" s="4" customFormat="1">
      <c r="AP239" s="13"/>
      <c r="AU239" s="13"/>
      <c r="BC239" s="13"/>
      <c r="BI239" s="6"/>
      <c r="BJ239" s="6"/>
      <c r="BK239" s="33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7"/>
    </row>
    <row r="240" spans="42:101" s="4" customFormat="1">
      <c r="AP240" s="13"/>
      <c r="AU240" s="13"/>
      <c r="BC240" s="13"/>
      <c r="BI240" s="6"/>
      <c r="BJ240" s="6"/>
      <c r="BK240" s="33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7"/>
    </row>
    <row r="241" spans="42:101" s="4" customFormat="1">
      <c r="AP241" s="13"/>
      <c r="AU241" s="13"/>
      <c r="BC241" s="13"/>
      <c r="BI241" s="6"/>
      <c r="BJ241" s="6"/>
      <c r="BK241" s="33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7"/>
    </row>
    <row r="242" spans="42:101" s="4" customFormat="1">
      <c r="AP242" s="13"/>
      <c r="AU242" s="13"/>
      <c r="BC242" s="13"/>
      <c r="BI242" s="6"/>
      <c r="BJ242" s="6"/>
      <c r="BK242" s="33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7"/>
    </row>
    <row r="243" spans="42:101" s="4" customFormat="1">
      <c r="AP243" s="13"/>
      <c r="AU243" s="13"/>
      <c r="BC243" s="13"/>
      <c r="BI243" s="6"/>
      <c r="BJ243" s="6"/>
      <c r="BK243" s="33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7"/>
    </row>
    <row r="244" spans="42:101" s="4" customFormat="1">
      <c r="AP244" s="13"/>
      <c r="AU244" s="13"/>
      <c r="BC244" s="13"/>
      <c r="BI244" s="6"/>
      <c r="BJ244" s="6"/>
      <c r="BK244" s="33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7"/>
    </row>
    <row r="245" spans="42:101" s="4" customFormat="1">
      <c r="AP245" s="13"/>
      <c r="AU245" s="13"/>
      <c r="BC245" s="13"/>
      <c r="BI245" s="6"/>
      <c r="BJ245" s="6"/>
      <c r="BK245" s="33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7"/>
    </row>
    <row r="246" spans="42:101" s="4" customFormat="1">
      <c r="AP246" s="13"/>
      <c r="AU246" s="13"/>
      <c r="BC246" s="13"/>
      <c r="BI246" s="6"/>
      <c r="BJ246" s="6"/>
      <c r="BK246" s="33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7"/>
    </row>
    <row r="247" spans="42:101" s="4" customFormat="1">
      <c r="AP247" s="13"/>
      <c r="AU247" s="13"/>
      <c r="BC247" s="13"/>
      <c r="BI247" s="6"/>
      <c r="BJ247" s="6"/>
      <c r="BK247" s="33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7"/>
    </row>
    <row r="248" spans="42:101" s="4" customFormat="1">
      <c r="AP248" s="13"/>
      <c r="AU248" s="13"/>
      <c r="BC248" s="13"/>
      <c r="BI248" s="6"/>
      <c r="BJ248" s="6"/>
      <c r="BK248" s="33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7"/>
    </row>
    <row r="249" spans="42:101" s="4" customFormat="1">
      <c r="AP249" s="13"/>
      <c r="AU249" s="13"/>
      <c r="BC249" s="13"/>
      <c r="BI249" s="6"/>
      <c r="BJ249" s="6"/>
      <c r="BK249" s="33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7"/>
    </row>
    <row r="250" spans="42:101" s="4" customFormat="1">
      <c r="AP250" s="13"/>
      <c r="AU250" s="13"/>
      <c r="BC250" s="13"/>
      <c r="BI250" s="6"/>
      <c r="BJ250" s="6"/>
      <c r="BK250" s="33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7"/>
    </row>
    <row r="251" spans="42:101" s="4" customFormat="1">
      <c r="AP251" s="13"/>
      <c r="AU251" s="13"/>
      <c r="BC251" s="13"/>
      <c r="BI251" s="6"/>
      <c r="BJ251" s="6"/>
      <c r="BK251" s="33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7"/>
    </row>
    <row r="252" spans="42:101" s="4" customFormat="1">
      <c r="AP252" s="13"/>
      <c r="AU252" s="13"/>
      <c r="BC252" s="13"/>
      <c r="BI252" s="6"/>
      <c r="BJ252" s="6"/>
      <c r="BK252" s="33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7"/>
    </row>
    <row r="253" spans="42:101" s="4" customFormat="1">
      <c r="AP253" s="13"/>
      <c r="AU253" s="13"/>
      <c r="BC253" s="13"/>
      <c r="BI253" s="6"/>
      <c r="BJ253" s="6"/>
      <c r="BK253" s="33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7"/>
    </row>
    <row r="254" spans="42:101" s="4" customFormat="1">
      <c r="AP254" s="13"/>
      <c r="AU254" s="13"/>
      <c r="BC254" s="13"/>
      <c r="BI254" s="6"/>
      <c r="BJ254" s="6"/>
      <c r="BK254" s="33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7"/>
    </row>
    <row r="255" spans="42:101" s="4" customFormat="1">
      <c r="AP255" s="13"/>
      <c r="AU255" s="13"/>
      <c r="BC255" s="13"/>
      <c r="BI255" s="6"/>
      <c r="BJ255" s="6"/>
      <c r="BK255" s="33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7"/>
    </row>
    <row r="256" spans="42:101" s="4" customFormat="1">
      <c r="AP256" s="13"/>
      <c r="AU256" s="13"/>
      <c r="BC256" s="13"/>
      <c r="BI256" s="6"/>
      <c r="BJ256" s="6"/>
      <c r="BK256" s="33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7"/>
    </row>
    <row r="257" spans="42:101" s="4" customFormat="1">
      <c r="AP257" s="13"/>
      <c r="AU257" s="13"/>
      <c r="BC257" s="13"/>
      <c r="BI257" s="6"/>
      <c r="BJ257" s="6"/>
      <c r="BK257" s="33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7"/>
    </row>
    <row r="258" spans="42:101" s="4" customFormat="1">
      <c r="AP258" s="13"/>
      <c r="AU258" s="13"/>
      <c r="BC258" s="13"/>
      <c r="BI258" s="6"/>
      <c r="BJ258" s="6"/>
      <c r="BK258" s="33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7"/>
    </row>
    <row r="259" spans="42:101" s="4" customFormat="1">
      <c r="AP259" s="13"/>
      <c r="AU259" s="13"/>
      <c r="BC259" s="13"/>
      <c r="BI259" s="6"/>
      <c r="BJ259" s="6"/>
      <c r="BK259" s="33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7"/>
    </row>
    <row r="260" spans="42:101" s="4" customFormat="1">
      <c r="AP260" s="13"/>
      <c r="AU260" s="13"/>
      <c r="BC260" s="13"/>
      <c r="BI260" s="6"/>
      <c r="BJ260" s="6"/>
      <c r="BK260" s="33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7"/>
    </row>
    <row r="261" spans="42:101" s="4" customFormat="1">
      <c r="AP261" s="13"/>
      <c r="AU261" s="13"/>
      <c r="BC261" s="13"/>
      <c r="BI261" s="6"/>
      <c r="BJ261" s="6"/>
      <c r="BK261" s="33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7"/>
    </row>
    <row r="262" spans="42:101" s="4" customFormat="1">
      <c r="AP262" s="13"/>
      <c r="AU262" s="13"/>
      <c r="BC262" s="13"/>
      <c r="BI262" s="6"/>
      <c r="BJ262" s="6"/>
      <c r="BK262" s="33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7"/>
    </row>
    <row r="263" spans="42:101" s="4" customFormat="1">
      <c r="AP263" s="13"/>
      <c r="AU263" s="13"/>
      <c r="BC263" s="13"/>
      <c r="BI263" s="6"/>
      <c r="BJ263" s="6"/>
      <c r="BK263" s="33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7"/>
    </row>
    <row r="264" spans="42:101" s="4" customFormat="1">
      <c r="AP264" s="13"/>
      <c r="AU264" s="13"/>
      <c r="BC264" s="13"/>
      <c r="BI264" s="6"/>
      <c r="BJ264" s="6"/>
      <c r="BK264" s="33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7"/>
    </row>
    <row r="265" spans="42:101" s="4" customFormat="1">
      <c r="AP265" s="13"/>
      <c r="AU265" s="13"/>
      <c r="BC265" s="13"/>
      <c r="BI265" s="6"/>
      <c r="BJ265" s="6"/>
      <c r="BK265" s="33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7"/>
    </row>
    <row r="266" spans="42:101" s="4" customFormat="1">
      <c r="AP266" s="13"/>
      <c r="AU266" s="13"/>
      <c r="BC266" s="13"/>
      <c r="BI266" s="6"/>
      <c r="BJ266" s="6"/>
      <c r="BK266" s="33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7"/>
    </row>
    <row r="267" spans="42:101" s="4" customFormat="1">
      <c r="AP267" s="13"/>
      <c r="AU267" s="13"/>
      <c r="BC267" s="13"/>
      <c r="BI267" s="6"/>
      <c r="BJ267" s="6"/>
      <c r="BK267" s="33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7"/>
    </row>
    <row r="268" spans="42:101" s="4" customFormat="1">
      <c r="AP268" s="13"/>
      <c r="AU268" s="13"/>
      <c r="BC268" s="13"/>
      <c r="BI268" s="6"/>
      <c r="BJ268" s="6"/>
      <c r="BK268" s="33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7"/>
    </row>
    <row r="269" spans="42:101" s="4" customFormat="1">
      <c r="AP269" s="13"/>
      <c r="AU269" s="13"/>
      <c r="BC269" s="13"/>
      <c r="BI269" s="6"/>
      <c r="BJ269" s="6"/>
      <c r="BK269" s="33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7"/>
    </row>
    <row r="270" spans="42:101" s="4" customFormat="1">
      <c r="AP270" s="13"/>
      <c r="AU270" s="13"/>
      <c r="BC270" s="13"/>
      <c r="BI270" s="6"/>
      <c r="BJ270" s="6"/>
      <c r="BK270" s="33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7"/>
    </row>
    <row r="271" spans="42:101" s="4" customFormat="1">
      <c r="AP271" s="13"/>
      <c r="AU271" s="13"/>
      <c r="BC271" s="13"/>
      <c r="BI271" s="6"/>
      <c r="BJ271" s="6"/>
      <c r="BK271" s="33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7"/>
    </row>
    <row r="272" spans="42:101" s="4" customFormat="1">
      <c r="AP272" s="13"/>
      <c r="AU272" s="13"/>
      <c r="BC272" s="13"/>
      <c r="BI272" s="6"/>
      <c r="BJ272" s="6"/>
      <c r="BK272" s="33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7"/>
    </row>
    <row r="273" spans="42:101" s="4" customFormat="1">
      <c r="AP273" s="13"/>
      <c r="AU273" s="13"/>
      <c r="BC273" s="13"/>
      <c r="BI273" s="6"/>
      <c r="BJ273" s="6"/>
      <c r="BK273" s="33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7"/>
    </row>
    <row r="274" spans="42:101" s="4" customFormat="1">
      <c r="AP274" s="13"/>
      <c r="AU274" s="13"/>
      <c r="BC274" s="13"/>
      <c r="BI274" s="6"/>
      <c r="BJ274" s="6"/>
      <c r="BK274" s="33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7"/>
    </row>
    <row r="275" spans="42:101" s="4" customFormat="1">
      <c r="AP275" s="13"/>
      <c r="AU275" s="13"/>
      <c r="BC275" s="13"/>
      <c r="BI275" s="6"/>
      <c r="BJ275" s="6"/>
      <c r="BK275" s="33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7"/>
    </row>
    <row r="276" spans="42:101" s="4" customFormat="1">
      <c r="AP276" s="13"/>
      <c r="AU276" s="13"/>
      <c r="BC276" s="13"/>
      <c r="BI276" s="6"/>
      <c r="BJ276" s="6"/>
      <c r="BK276" s="33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7"/>
    </row>
    <row r="277" spans="42:101" s="4" customFormat="1">
      <c r="AP277" s="13"/>
      <c r="AU277" s="13"/>
      <c r="BC277" s="13"/>
      <c r="BI277" s="6"/>
      <c r="BJ277" s="6"/>
      <c r="BK277" s="33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7"/>
    </row>
    <row r="278" spans="42:101" s="4" customFormat="1">
      <c r="AP278" s="13"/>
      <c r="AU278" s="13"/>
      <c r="BC278" s="13"/>
      <c r="BI278" s="6"/>
      <c r="BJ278" s="6"/>
      <c r="BK278" s="33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7"/>
    </row>
    <row r="279" spans="42:101" s="4" customFormat="1">
      <c r="AP279" s="13"/>
      <c r="AU279" s="13"/>
      <c r="BC279" s="13"/>
      <c r="BI279" s="6"/>
      <c r="BJ279" s="6"/>
      <c r="BK279" s="33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7"/>
    </row>
    <row r="280" spans="42:101" s="4" customFormat="1">
      <c r="AP280" s="13"/>
      <c r="AU280" s="13"/>
      <c r="BC280" s="13"/>
      <c r="BI280" s="6"/>
      <c r="BJ280" s="6"/>
      <c r="BK280" s="33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7"/>
    </row>
    <row r="281" spans="42:101" s="4" customFormat="1">
      <c r="AP281" s="13"/>
      <c r="AU281" s="13"/>
      <c r="BC281" s="13"/>
      <c r="BI281" s="6"/>
      <c r="BJ281" s="6"/>
      <c r="BK281" s="33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7"/>
    </row>
    <row r="282" spans="42:101" s="4" customFormat="1">
      <c r="AP282" s="13"/>
      <c r="AU282" s="13"/>
      <c r="BC282" s="13"/>
      <c r="BI282" s="6"/>
      <c r="BJ282" s="6"/>
      <c r="BK282" s="33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7"/>
    </row>
    <row r="283" spans="42:101" s="4" customFormat="1">
      <c r="AP283" s="13"/>
      <c r="AU283" s="13"/>
      <c r="BC283" s="13"/>
      <c r="BI283" s="6"/>
      <c r="BJ283" s="6"/>
      <c r="BK283" s="33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7"/>
    </row>
    <row r="284" spans="42:101" s="4" customFormat="1">
      <c r="AP284" s="13"/>
      <c r="AU284" s="13"/>
      <c r="BC284" s="13"/>
      <c r="BI284" s="6"/>
      <c r="BJ284" s="6"/>
      <c r="BK284" s="33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7"/>
    </row>
    <row r="285" spans="42:101" s="4" customFormat="1">
      <c r="AP285" s="13"/>
      <c r="AU285" s="13"/>
      <c r="BC285" s="13"/>
      <c r="BI285" s="6"/>
      <c r="BJ285" s="6"/>
      <c r="BK285" s="33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7"/>
    </row>
    <row r="286" spans="42:101" s="4" customFormat="1">
      <c r="AP286" s="13"/>
      <c r="AU286" s="13"/>
      <c r="BC286" s="13"/>
      <c r="BI286" s="6"/>
      <c r="BJ286" s="6"/>
      <c r="BK286" s="33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7"/>
    </row>
    <row r="287" spans="42:101" s="4" customFormat="1">
      <c r="AP287" s="13"/>
      <c r="AU287" s="13"/>
      <c r="BC287" s="13"/>
      <c r="BI287" s="6"/>
      <c r="BJ287" s="6"/>
      <c r="BK287" s="33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7"/>
    </row>
    <row r="288" spans="42:101" s="4" customFormat="1">
      <c r="AP288" s="13"/>
      <c r="AU288" s="13"/>
      <c r="BC288" s="13"/>
      <c r="BI288" s="6"/>
      <c r="BJ288" s="6"/>
      <c r="BK288" s="33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7"/>
    </row>
    <row r="289" spans="42:101" s="4" customFormat="1">
      <c r="AP289" s="13"/>
      <c r="AU289" s="13"/>
      <c r="BC289" s="13"/>
      <c r="BI289" s="6"/>
      <c r="BJ289" s="6"/>
      <c r="BK289" s="33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7"/>
    </row>
    <row r="290" spans="42:101" s="4" customFormat="1">
      <c r="AP290" s="13"/>
      <c r="AU290" s="13"/>
      <c r="BC290" s="13"/>
      <c r="BI290" s="6"/>
      <c r="BJ290" s="6"/>
      <c r="BK290" s="33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7"/>
    </row>
    <row r="291" spans="42:101" s="4" customFormat="1">
      <c r="AP291" s="13"/>
      <c r="AU291" s="13"/>
      <c r="BC291" s="13"/>
      <c r="BI291" s="6"/>
      <c r="BJ291" s="6"/>
      <c r="BK291" s="33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7"/>
    </row>
    <row r="292" spans="42:101" s="4" customFormat="1">
      <c r="AP292" s="13"/>
      <c r="AU292" s="13"/>
      <c r="BC292" s="13"/>
      <c r="BI292" s="6"/>
      <c r="BJ292" s="6"/>
      <c r="BK292" s="33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7"/>
    </row>
    <row r="293" spans="42:101" s="4" customFormat="1">
      <c r="AP293" s="13"/>
      <c r="AU293" s="13"/>
      <c r="BC293" s="13"/>
      <c r="BI293" s="6"/>
      <c r="BJ293" s="6"/>
      <c r="BK293" s="33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7"/>
    </row>
    <row r="294" spans="42:101" s="4" customFormat="1">
      <c r="AP294" s="13"/>
      <c r="AU294" s="13"/>
      <c r="BC294" s="13"/>
      <c r="BI294" s="6"/>
      <c r="BJ294" s="6"/>
      <c r="BK294" s="33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7"/>
    </row>
    <row r="295" spans="42:101" s="4" customFormat="1">
      <c r="AP295" s="13"/>
      <c r="AU295" s="13"/>
      <c r="BC295" s="13"/>
      <c r="BI295" s="6"/>
      <c r="BJ295" s="6"/>
      <c r="BK295" s="33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7"/>
    </row>
    <row r="296" spans="42:101" s="4" customFormat="1">
      <c r="AP296" s="13"/>
      <c r="AU296" s="13"/>
      <c r="BC296" s="13"/>
      <c r="BI296" s="6"/>
      <c r="BJ296" s="6"/>
      <c r="BK296" s="33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7"/>
    </row>
    <row r="297" spans="42:101" s="4" customFormat="1">
      <c r="AP297" s="13"/>
      <c r="AU297" s="13"/>
      <c r="BC297" s="13"/>
      <c r="BI297" s="6"/>
      <c r="BJ297" s="6"/>
      <c r="BK297" s="33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7"/>
    </row>
    <row r="298" spans="42:101" s="4" customFormat="1">
      <c r="AP298" s="13"/>
      <c r="AU298" s="13"/>
      <c r="BC298" s="13"/>
      <c r="BI298" s="6"/>
      <c r="BJ298" s="6"/>
      <c r="BK298" s="33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7"/>
    </row>
    <row r="299" spans="42:101" s="4" customFormat="1">
      <c r="AP299" s="13"/>
      <c r="AU299" s="13"/>
      <c r="BC299" s="13"/>
      <c r="BI299" s="6"/>
      <c r="BJ299" s="6"/>
      <c r="BK299" s="33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7"/>
    </row>
    <row r="300" spans="42:101" s="4" customFormat="1">
      <c r="AP300" s="13"/>
      <c r="AU300" s="13"/>
      <c r="BC300" s="13"/>
      <c r="BI300" s="6"/>
      <c r="BJ300" s="6"/>
      <c r="BK300" s="33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7"/>
    </row>
    <row r="301" spans="42:101" s="4" customFormat="1">
      <c r="AP301" s="13"/>
      <c r="AU301" s="13"/>
      <c r="BC301" s="13"/>
      <c r="BI301" s="6"/>
      <c r="BJ301" s="6"/>
      <c r="BK301" s="33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7"/>
    </row>
    <row r="302" spans="42:101" s="4" customFormat="1">
      <c r="AP302" s="13"/>
      <c r="AU302" s="13"/>
      <c r="BC302" s="13"/>
      <c r="BI302" s="6"/>
      <c r="BJ302" s="6"/>
      <c r="BK302" s="33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7"/>
    </row>
    <row r="303" spans="42:101" s="4" customFormat="1">
      <c r="AP303" s="13"/>
      <c r="AU303" s="13"/>
      <c r="BC303" s="13"/>
      <c r="BI303" s="6"/>
      <c r="BJ303" s="6"/>
      <c r="BK303" s="33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7"/>
    </row>
    <row r="304" spans="42:101" s="4" customFormat="1">
      <c r="AP304" s="13"/>
      <c r="AU304" s="13"/>
      <c r="BC304" s="13"/>
      <c r="BI304" s="6"/>
      <c r="BJ304" s="6"/>
      <c r="BK304" s="33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7"/>
    </row>
    <row r="305" spans="42:101" s="4" customFormat="1">
      <c r="AP305" s="13"/>
      <c r="AU305" s="13"/>
      <c r="BC305" s="13"/>
      <c r="BI305" s="6"/>
      <c r="BJ305" s="6"/>
      <c r="BK305" s="33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7"/>
    </row>
    <row r="306" spans="42:101" s="4" customFormat="1">
      <c r="AP306" s="13"/>
      <c r="AU306" s="13"/>
      <c r="BC306" s="13"/>
      <c r="BI306" s="6"/>
      <c r="BJ306" s="6"/>
      <c r="BK306" s="33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7"/>
    </row>
    <row r="307" spans="42:101" s="4" customFormat="1">
      <c r="AP307" s="13"/>
      <c r="AU307" s="13"/>
      <c r="BC307" s="13"/>
      <c r="BI307" s="6"/>
      <c r="BJ307" s="6"/>
      <c r="BK307" s="33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7"/>
    </row>
    <row r="308" spans="42:101" s="4" customFormat="1">
      <c r="AP308" s="13"/>
      <c r="AU308" s="13"/>
      <c r="BC308" s="13"/>
      <c r="BI308" s="6"/>
      <c r="BJ308" s="6"/>
      <c r="BK308" s="33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7"/>
    </row>
    <row r="309" spans="42:101" s="4" customFormat="1">
      <c r="AP309" s="13"/>
      <c r="AU309" s="13"/>
      <c r="BC309" s="13"/>
      <c r="BI309" s="6"/>
      <c r="BJ309" s="6"/>
      <c r="BK309" s="33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7"/>
    </row>
    <row r="310" spans="42:101" s="4" customFormat="1">
      <c r="AP310" s="13"/>
      <c r="AU310" s="13"/>
      <c r="BC310" s="13"/>
      <c r="BI310" s="6"/>
      <c r="BJ310" s="6"/>
      <c r="BK310" s="33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7"/>
    </row>
    <row r="311" spans="42:101" s="4" customFormat="1">
      <c r="AP311" s="13"/>
      <c r="AU311" s="13"/>
      <c r="BC311" s="13"/>
      <c r="BI311" s="6"/>
      <c r="BJ311" s="6"/>
      <c r="BK311" s="33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7"/>
    </row>
    <row r="312" spans="42:101" s="4" customFormat="1">
      <c r="AP312" s="13"/>
      <c r="AU312" s="13"/>
      <c r="BC312" s="13"/>
      <c r="BI312" s="6"/>
      <c r="BJ312" s="6"/>
      <c r="BK312" s="33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7"/>
    </row>
    <row r="313" spans="42:101" s="4" customFormat="1">
      <c r="AP313" s="13"/>
      <c r="AU313" s="13"/>
      <c r="BC313" s="13"/>
      <c r="BI313" s="6"/>
      <c r="BJ313" s="6"/>
      <c r="BK313" s="33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7"/>
    </row>
    <row r="314" spans="42:101" s="4" customFormat="1">
      <c r="AP314" s="13"/>
      <c r="AU314" s="13"/>
      <c r="BC314" s="13"/>
      <c r="BI314" s="6"/>
      <c r="BJ314" s="6"/>
      <c r="BK314" s="33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7"/>
    </row>
    <row r="315" spans="42:101" s="4" customFormat="1">
      <c r="AP315" s="13"/>
      <c r="AU315" s="13"/>
      <c r="BC315" s="13"/>
      <c r="BI315" s="6"/>
      <c r="BJ315" s="6"/>
      <c r="BK315" s="33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7"/>
    </row>
    <row r="316" spans="42:101" s="4" customFormat="1">
      <c r="AP316" s="13"/>
      <c r="AU316" s="13"/>
      <c r="BC316" s="13"/>
      <c r="BI316" s="6"/>
      <c r="BJ316" s="6"/>
      <c r="BK316" s="33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7"/>
    </row>
    <row r="317" spans="42:101" s="4" customFormat="1">
      <c r="AP317" s="13"/>
      <c r="AU317" s="13"/>
      <c r="BC317" s="13"/>
      <c r="BI317" s="6"/>
      <c r="BJ317" s="6"/>
      <c r="BK317" s="33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7"/>
    </row>
    <row r="318" spans="42:101" s="4" customFormat="1">
      <c r="AP318" s="13"/>
      <c r="AU318" s="13"/>
      <c r="BC318" s="13"/>
      <c r="BI318" s="6"/>
      <c r="BJ318" s="6"/>
      <c r="BK318" s="33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7"/>
    </row>
    <row r="319" spans="42:101" s="4" customFormat="1">
      <c r="AP319" s="13"/>
      <c r="AU319" s="13"/>
      <c r="BC319" s="13"/>
      <c r="BI319" s="6"/>
      <c r="BJ319" s="6"/>
      <c r="BK319" s="33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7"/>
    </row>
    <row r="320" spans="42:101" s="4" customFormat="1">
      <c r="AP320" s="13"/>
      <c r="AU320" s="13"/>
      <c r="BC320" s="13"/>
      <c r="BI320" s="6"/>
      <c r="BJ320" s="6"/>
      <c r="BK320" s="33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7"/>
    </row>
    <row r="321" spans="42:101" s="4" customFormat="1">
      <c r="AP321" s="13"/>
      <c r="AU321" s="13"/>
      <c r="BC321" s="13"/>
      <c r="BI321" s="6"/>
      <c r="BJ321" s="6"/>
      <c r="BK321" s="33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7"/>
    </row>
    <row r="322" spans="42:101" s="4" customFormat="1">
      <c r="AP322" s="13"/>
      <c r="AU322" s="13"/>
      <c r="BC322" s="13"/>
      <c r="BI322" s="6"/>
      <c r="BJ322" s="6"/>
      <c r="BK322" s="33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7"/>
    </row>
    <row r="323" spans="42:101" s="4" customFormat="1">
      <c r="AP323" s="13"/>
      <c r="AU323" s="13"/>
      <c r="BC323" s="13"/>
      <c r="BI323" s="6"/>
      <c r="BJ323" s="6"/>
      <c r="BK323" s="33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7"/>
    </row>
    <row r="324" spans="42:101" s="4" customFormat="1">
      <c r="AP324" s="13"/>
      <c r="AU324" s="13"/>
      <c r="BC324" s="13"/>
      <c r="BI324" s="6"/>
      <c r="BJ324" s="6"/>
      <c r="BK324" s="33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7"/>
    </row>
    <row r="325" spans="42:101" s="4" customFormat="1">
      <c r="AP325" s="13"/>
      <c r="AU325" s="13"/>
      <c r="BC325" s="13"/>
      <c r="BI325" s="6"/>
      <c r="BJ325" s="6"/>
      <c r="BK325" s="33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7"/>
    </row>
    <row r="326" spans="42:101" s="4" customFormat="1">
      <c r="AP326" s="13"/>
      <c r="AU326" s="13"/>
      <c r="BC326" s="13"/>
      <c r="BI326" s="6"/>
      <c r="BJ326" s="6"/>
      <c r="BK326" s="33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7"/>
    </row>
    <row r="327" spans="42:101" s="4" customFormat="1">
      <c r="AP327" s="13"/>
      <c r="AU327" s="13"/>
      <c r="BC327" s="13"/>
      <c r="BI327" s="6"/>
      <c r="BJ327" s="6"/>
      <c r="BK327" s="33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7"/>
    </row>
    <row r="328" spans="42:101" s="4" customFormat="1">
      <c r="AP328" s="13"/>
      <c r="AU328" s="13"/>
      <c r="BC328" s="13"/>
      <c r="BI328" s="6"/>
      <c r="BJ328" s="6"/>
      <c r="BK328" s="33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7"/>
    </row>
    <row r="329" spans="42:101" s="4" customFormat="1">
      <c r="AP329" s="13"/>
      <c r="AU329" s="13"/>
      <c r="BC329" s="13"/>
      <c r="BI329" s="6"/>
      <c r="BJ329" s="6"/>
      <c r="BK329" s="33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7"/>
    </row>
    <row r="330" spans="42:101" s="4" customFormat="1">
      <c r="AP330" s="13"/>
      <c r="AU330" s="13"/>
      <c r="BC330" s="13"/>
      <c r="BI330" s="6"/>
      <c r="BJ330" s="6"/>
      <c r="BK330" s="33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7"/>
    </row>
    <row r="331" spans="42:101" s="4" customFormat="1">
      <c r="AP331" s="13"/>
      <c r="AU331" s="13"/>
      <c r="BC331" s="13"/>
      <c r="BI331" s="6"/>
      <c r="BJ331" s="6"/>
      <c r="BK331" s="33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7"/>
    </row>
    <row r="332" spans="42:101" s="4" customFormat="1">
      <c r="AP332" s="13"/>
      <c r="AU332" s="13"/>
      <c r="BC332" s="13"/>
      <c r="BI332" s="6"/>
      <c r="BJ332" s="6"/>
      <c r="BK332" s="33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7"/>
    </row>
    <row r="333" spans="42:101" s="4" customFormat="1">
      <c r="AP333" s="13"/>
      <c r="AU333" s="13"/>
      <c r="BC333" s="13"/>
      <c r="BI333" s="6"/>
      <c r="BJ333" s="6"/>
      <c r="BK333" s="33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7"/>
    </row>
    <row r="334" spans="42:101" s="4" customFormat="1">
      <c r="AP334" s="13"/>
      <c r="AU334" s="13"/>
      <c r="BC334" s="13"/>
      <c r="BI334" s="6"/>
      <c r="BJ334" s="6"/>
      <c r="BK334" s="33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7"/>
    </row>
    <row r="335" spans="42:101" s="4" customFormat="1">
      <c r="AP335" s="13"/>
      <c r="AU335" s="13"/>
      <c r="BC335" s="13"/>
      <c r="BI335" s="6"/>
      <c r="BJ335" s="6"/>
      <c r="BK335" s="33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7"/>
    </row>
    <row r="336" spans="42:101" s="4" customFormat="1">
      <c r="AP336" s="13"/>
      <c r="AU336" s="13"/>
      <c r="BC336" s="13"/>
      <c r="BI336" s="6"/>
      <c r="BJ336" s="6"/>
      <c r="BK336" s="33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7"/>
    </row>
    <row r="337" spans="42:101" s="4" customFormat="1">
      <c r="AP337" s="13"/>
      <c r="AU337" s="13"/>
      <c r="BC337" s="13"/>
      <c r="BI337" s="6"/>
      <c r="BJ337" s="6"/>
      <c r="BK337" s="33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7"/>
    </row>
    <row r="338" spans="42:101" s="4" customFormat="1">
      <c r="AP338" s="13"/>
      <c r="AU338" s="13"/>
      <c r="BC338" s="13"/>
      <c r="BI338" s="6"/>
      <c r="BJ338" s="6"/>
      <c r="BK338" s="33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7"/>
    </row>
    <row r="339" spans="42:101" s="4" customFormat="1">
      <c r="AP339" s="13"/>
      <c r="AU339" s="13"/>
      <c r="BC339" s="13"/>
      <c r="BI339" s="6"/>
      <c r="BJ339" s="6"/>
      <c r="BK339" s="33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7"/>
    </row>
    <row r="340" spans="42:101" s="4" customFormat="1">
      <c r="AP340" s="13"/>
      <c r="AU340" s="13"/>
      <c r="BC340" s="13"/>
      <c r="BI340" s="6"/>
      <c r="BJ340" s="6"/>
      <c r="BK340" s="33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7"/>
    </row>
    <row r="341" spans="42:101" s="4" customFormat="1">
      <c r="AP341" s="13"/>
      <c r="AU341" s="13"/>
      <c r="BC341" s="13"/>
      <c r="BI341" s="6"/>
      <c r="BJ341" s="6"/>
      <c r="BK341" s="33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7"/>
    </row>
    <row r="342" spans="42:101" s="4" customFormat="1">
      <c r="AP342" s="13"/>
      <c r="AU342" s="13"/>
      <c r="BC342" s="13"/>
      <c r="BI342" s="6"/>
      <c r="BJ342" s="6"/>
      <c r="BK342" s="33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7"/>
    </row>
    <row r="343" spans="42:101" s="4" customFormat="1">
      <c r="AP343" s="13"/>
      <c r="AU343" s="13"/>
      <c r="BC343" s="13"/>
      <c r="BI343" s="6"/>
      <c r="BJ343" s="6"/>
      <c r="BK343" s="33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7"/>
    </row>
    <row r="344" spans="42:101" s="4" customFormat="1">
      <c r="AP344" s="13"/>
      <c r="AU344" s="13"/>
      <c r="BC344" s="13"/>
      <c r="BI344" s="6"/>
      <c r="BJ344" s="6"/>
      <c r="BK344" s="33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7"/>
    </row>
    <row r="345" spans="42:101" s="4" customFormat="1">
      <c r="AP345" s="13"/>
      <c r="AU345" s="13"/>
      <c r="BC345" s="13"/>
      <c r="BI345" s="6"/>
      <c r="BJ345" s="6"/>
      <c r="BK345" s="33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7"/>
    </row>
    <row r="346" spans="42:101" s="4" customFormat="1">
      <c r="AP346" s="13"/>
      <c r="AU346" s="13"/>
      <c r="BC346" s="13"/>
      <c r="BI346" s="6"/>
      <c r="BJ346" s="6"/>
      <c r="BK346" s="33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7"/>
    </row>
    <row r="347" spans="42:101" s="4" customFormat="1">
      <c r="AP347" s="13"/>
      <c r="AU347" s="13"/>
      <c r="BC347" s="13"/>
      <c r="BI347" s="6"/>
      <c r="BJ347" s="6"/>
      <c r="BK347" s="33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7"/>
    </row>
    <row r="348" spans="42:101" s="4" customFormat="1">
      <c r="AP348" s="13"/>
      <c r="AU348" s="13"/>
      <c r="BC348" s="13"/>
      <c r="BI348" s="6"/>
      <c r="BJ348" s="6"/>
      <c r="BK348" s="33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7"/>
    </row>
    <row r="349" spans="42:101" s="4" customFormat="1">
      <c r="AP349" s="13"/>
      <c r="AU349" s="13"/>
      <c r="BC349" s="13"/>
      <c r="BI349" s="6"/>
      <c r="BJ349" s="6"/>
      <c r="BK349" s="33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7"/>
    </row>
    <row r="350" spans="42:101" s="4" customFormat="1">
      <c r="AP350" s="13"/>
      <c r="AU350" s="13"/>
      <c r="BC350" s="13"/>
      <c r="BI350" s="6"/>
      <c r="BJ350" s="6"/>
      <c r="BK350" s="33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7"/>
    </row>
    <row r="351" spans="42:101" s="4" customFormat="1">
      <c r="AP351" s="13"/>
      <c r="AU351" s="13"/>
      <c r="BC351" s="13"/>
      <c r="BI351" s="6"/>
      <c r="BJ351" s="6"/>
      <c r="BK351" s="33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7"/>
    </row>
    <row r="352" spans="42:101" s="4" customFormat="1">
      <c r="AP352" s="13"/>
      <c r="AU352" s="13"/>
      <c r="BC352" s="13"/>
      <c r="BI352" s="6"/>
      <c r="BJ352" s="6"/>
      <c r="BK352" s="33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7"/>
    </row>
    <row r="353" spans="42:101" s="4" customFormat="1">
      <c r="AP353" s="13"/>
      <c r="AU353" s="13"/>
      <c r="BC353" s="13"/>
      <c r="BI353" s="6"/>
      <c r="BJ353" s="6"/>
      <c r="BK353" s="33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7"/>
    </row>
    <row r="354" spans="42:101" s="4" customFormat="1">
      <c r="AP354" s="13"/>
      <c r="AU354" s="13"/>
      <c r="BC354" s="13"/>
      <c r="BI354" s="6"/>
      <c r="BJ354" s="6"/>
      <c r="BK354" s="33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7"/>
    </row>
    <row r="355" spans="42:101" s="4" customFormat="1">
      <c r="AP355" s="13"/>
      <c r="AU355" s="13"/>
      <c r="BC355" s="13"/>
      <c r="BI355" s="6"/>
      <c r="BJ355" s="6"/>
      <c r="BK355" s="33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7"/>
    </row>
    <row r="356" spans="42:101" s="4" customFormat="1">
      <c r="AP356" s="13"/>
      <c r="AU356" s="13"/>
      <c r="BC356" s="13"/>
      <c r="BI356" s="6"/>
      <c r="BJ356" s="6"/>
      <c r="BK356" s="33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7"/>
    </row>
    <row r="357" spans="42:101" s="4" customFormat="1">
      <c r="AP357" s="13"/>
      <c r="AU357" s="13"/>
      <c r="BC357" s="13"/>
      <c r="BI357" s="6"/>
      <c r="BJ357" s="6"/>
      <c r="BK357" s="33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7"/>
    </row>
    <row r="358" spans="42:101" s="4" customFormat="1">
      <c r="AP358" s="13"/>
      <c r="AU358" s="13"/>
      <c r="BC358" s="13"/>
      <c r="BI358" s="6"/>
      <c r="BJ358" s="6"/>
      <c r="BK358" s="33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7"/>
    </row>
    <row r="359" spans="42:101" s="4" customFormat="1">
      <c r="AP359" s="13"/>
      <c r="AU359" s="13"/>
      <c r="BC359" s="13"/>
      <c r="BI359" s="6"/>
      <c r="BJ359" s="6"/>
      <c r="BK359" s="33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7"/>
    </row>
    <row r="360" spans="42:101" s="4" customFormat="1">
      <c r="AP360" s="13"/>
      <c r="AU360" s="13"/>
      <c r="BC360" s="13"/>
      <c r="BI360" s="6"/>
      <c r="BJ360" s="6"/>
      <c r="BK360" s="33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7"/>
    </row>
    <row r="361" spans="42:101" s="4" customFormat="1">
      <c r="AP361" s="13"/>
      <c r="AU361" s="13"/>
      <c r="BC361" s="13"/>
      <c r="BI361" s="6"/>
      <c r="BJ361" s="6"/>
      <c r="BK361" s="33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7"/>
    </row>
    <row r="362" spans="42:101" s="4" customFormat="1">
      <c r="AP362" s="13"/>
      <c r="AU362" s="13"/>
      <c r="BC362" s="13"/>
      <c r="BI362" s="6"/>
      <c r="BJ362" s="6"/>
      <c r="BK362" s="33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7"/>
    </row>
    <row r="363" spans="42:101" s="4" customFormat="1">
      <c r="AP363" s="13"/>
      <c r="AU363" s="13"/>
      <c r="BC363" s="13"/>
      <c r="BI363" s="6"/>
      <c r="BJ363" s="6"/>
      <c r="BK363" s="33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7"/>
    </row>
    <row r="364" spans="42:101" s="4" customFormat="1">
      <c r="AP364" s="13"/>
      <c r="AU364" s="13"/>
      <c r="BC364" s="13"/>
      <c r="BI364" s="6"/>
      <c r="BJ364" s="6"/>
      <c r="BK364" s="33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7"/>
    </row>
    <row r="365" spans="42:101" s="4" customFormat="1">
      <c r="AP365" s="13"/>
      <c r="AU365" s="13"/>
      <c r="BC365" s="13"/>
      <c r="BI365" s="6"/>
      <c r="BJ365" s="6"/>
      <c r="BK365" s="33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7"/>
    </row>
    <row r="366" spans="42:101" s="4" customFormat="1">
      <c r="AP366" s="13"/>
      <c r="AU366" s="13"/>
      <c r="BC366" s="13"/>
      <c r="BI366" s="6"/>
      <c r="BJ366" s="6"/>
      <c r="BK366" s="33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7"/>
    </row>
    <row r="367" spans="42:101" s="4" customFormat="1">
      <c r="AP367" s="13"/>
      <c r="AU367" s="13"/>
      <c r="BC367" s="13"/>
      <c r="BI367" s="6"/>
      <c r="BJ367" s="6"/>
      <c r="BK367" s="33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7"/>
    </row>
    <row r="368" spans="42:101" s="4" customFormat="1">
      <c r="AP368" s="13"/>
      <c r="AU368" s="13"/>
      <c r="BC368" s="13"/>
      <c r="BI368" s="6"/>
      <c r="BJ368" s="6"/>
      <c r="BK368" s="33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7"/>
    </row>
    <row r="369" spans="42:101" s="4" customFormat="1">
      <c r="AP369" s="13"/>
      <c r="AU369" s="13"/>
      <c r="BC369" s="13"/>
      <c r="BI369" s="6"/>
      <c r="BJ369" s="6"/>
      <c r="BK369" s="33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7"/>
    </row>
    <row r="370" spans="42:101" s="4" customFormat="1">
      <c r="AP370" s="13"/>
      <c r="AU370" s="13"/>
      <c r="BC370" s="13"/>
      <c r="BI370" s="6"/>
      <c r="BJ370" s="6"/>
      <c r="BK370" s="33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7"/>
    </row>
    <row r="371" spans="42:101" s="4" customFormat="1">
      <c r="AP371" s="13"/>
      <c r="AU371" s="13"/>
      <c r="BC371" s="13"/>
      <c r="BI371" s="6"/>
      <c r="BJ371" s="6"/>
      <c r="BK371" s="33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7"/>
    </row>
    <row r="372" spans="42:101" s="4" customFormat="1">
      <c r="AP372" s="13"/>
      <c r="AU372" s="13"/>
      <c r="BC372" s="13"/>
      <c r="BI372" s="6"/>
      <c r="BJ372" s="6"/>
      <c r="BK372" s="33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7"/>
    </row>
    <row r="373" spans="42:101" s="4" customFormat="1">
      <c r="AP373" s="13"/>
      <c r="AU373" s="13"/>
      <c r="BC373" s="13"/>
      <c r="BI373" s="6"/>
      <c r="BJ373" s="6"/>
      <c r="BK373" s="33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7"/>
    </row>
    <row r="374" spans="42:101" s="4" customFormat="1">
      <c r="AP374" s="13"/>
      <c r="AU374" s="13"/>
      <c r="BC374" s="13"/>
      <c r="BI374" s="6"/>
      <c r="BJ374" s="6"/>
      <c r="BK374" s="33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7"/>
    </row>
    <row r="375" spans="42:101" s="4" customFormat="1">
      <c r="AP375" s="13"/>
      <c r="AU375" s="13"/>
      <c r="BC375" s="13"/>
      <c r="BI375" s="6"/>
      <c r="BJ375" s="6"/>
      <c r="BK375" s="33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7"/>
    </row>
    <row r="376" spans="42:101" s="4" customFormat="1">
      <c r="AP376" s="13"/>
      <c r="AU376" s="13"/>
      <c r="BC376" s="13"/>
      <c r="BI376" s="6"/>
      <c r="BJ376" s="6"/>
      <c r="BK376" s="33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7"/>
    </row>
    <row r="377" spans="42:101" s="4" customFormat="1">
      <c r="AP377" s="13"/>
      <c r="AU377" s="13"/>
      <c r="BC377" s="13"/>
      <c r="BI377" s="6"/>
      <c r="BJ377" s="6"/>
      <c r="BK377" s="33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7"/>
    </row>
    <row r="378" spans="42:101" s="4" customFormat="1">
      <c r="AP378" s="13"/>
      <c r="AU378" s="13"/>
      <c r="BC378" s="13"/>
      <c r="BI378" s="6"/>
      <c r="BJ378" s="6"/>
      <c r="BK378" s="33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7"/>
    </row>
    <row r="379" spans="42:101" s="4" customFormat="1">
      <c r="AP379" s="13"/>
      <c r="AU379" s="13"/>
      <c r="BC379" s="13"/>
      <c r="BI379" s="6"/>
      <c r="BJ379" s="6"/>
      <c r="BK379" s="33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7"/>
    </row>
    <row r="380" spans="42:101" s="4" customFormat="1">
      <c r="AP380" s="13"/>
      <c r="AU380" s="13"/>
      <c r="BC380" s="13"/>
      <c r="BI380" s="6"/>
      <c r="BJ380" s="6"/>
      <c r="BK380" s="33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7"/>
    </row>
    <row r="381" spans="42:101" s="4" customFormat="1">
      <c r="AP381" s="13"/>
      <c r="AU381" s="13"/>
      <c r="BC381" s="13"/>
      <c r="BI381" s="6"/>
      <c r="BJ381" s="6"/>
      <c r="BK381" s="33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7"/>
    </row>
    <row r="382" spans="42:101" s="4" customFormat="1">
      <c r="AP382" s="13"/>
      <c r="AU382" s="13"/>
      <c r="BC382" s="13"/>
      <c r="BI382" s="6"/>
      <c r="BJ382" s="6"/>
      <c r="BK382" s="33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7"/>
    </row>
    <row r="383" spans="42:101" s="4" customFormat="1">
      <c r="AP383" s="13"/>
      <c r="AU383" s="13"/>
      <c r="BC383" s="13"/>
      <c r="BI383" s="6"/>
      <c r="BJ383" s="6"/>
      <c r="BK383" s="33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7"/>
    </row>
    <row r="384" spans="42:101" s="4" customFormat="1">
      <c r="AP384" s="13"/>
      <c r="AU384" s="13"/>
      <c r="BC384" s="13"/>
      <c r="BI384" s="6"/>
      <c r="BJ384" s="6"/>
      <c r="BK384" s="33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7"/>
    </row>
    <row r="385" spans="42:101" s="4" customFormat="1">
      <c r="AP385" s="13"/>
      <c r="AU385" s="13"/>
      <c r="BC385" s="13"/>
      <c r="BI385" s="6"/>
      <c r="BJ385" s="6"/>
      <c r="BK385" s="33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7"/>
    </row>
    <row r="386" spans="42:101" s="4" customFormat="1">
      <c r="AP386" s="13"/>
      <c r="AU386" s="13"/>
      <c r="BC386" s="13"/>
      <c r="BI386" s="6"/>
      <c r="BJ386" s="6"/>
      <c r="BK386" s="33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7"/>
    </row>
    <row r="387" spans="42:101" s="4" customFormat="1">
      <c r="AP387" s="13"/>
      <c r="AU387" s="13"/>
      <c r="BC387" s="13"/>
      <c r="BI387" s="6"/>
      <c r="BJ387" s="6"/>
      <c r="BK387" s="33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7"/>
    </row>
    <row r="388" spans="42:101" s="4" customFormat="1">
      <c r="AP388" s="13"/>
      <c r="AU388" s="13"/>
      <c r="BC388" s="13"/>
      <c r="BI388" s="6"/>
      <c r="BJ388" s="6"/>
      <c r="BK388" s="33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7"/>
    </row>
    <row r="389" spans="42:101" s="4" customFormat="1">
      <c r="AP389" s="13"/>
      <c r="AU389" s="13"/>
      <c r="BC389" s="13"/>
      <c r="BI389" s="6"/>
      <c r="BJ389" s="6"/>
      <c r="BK389" s="33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7"/>
    </row>
    <row r="390" spans="42:101" s="4" customFormat="1">
      <c r="AP390" s="13"/>
      <c r="AU390" s="13"/>
      <c r="BC390" s="13"/>
      <c r="BI390" s="6"/>
      <c r="BJ390" s="6"/>
      <c r="BK390" s="33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7"/>
    </row>
    <row r="391" spans="42:101" s="4" customFormat="1">
      <c r="AP391" s="13"/>
      <c r="AU391" s="13"/>
      <c r="BC391" s="13"/>
      <c r="BI391" s="6"/>
      <c r="BJ391" s="6"/>
      <c r="BK391" s="33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7"/>
    </row>
    <row r="392" spans="42:101" s="4" customFormat="1">
      <c r="AP392" s="13"/>
      <c r="AU392" s="13"/>
      <c r="BC392" s="13"/>
      <c r="BI392" s="6"/>
      <c r="BJ392" s="6"/>
      <c r="BK392" s="33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7"/>
    </row>
    <row r="393" spans="42:101" s="4" customFormat="1">
      <c r="AP393" s="13"/>
      <c r="AU393" s="13"/>
      <c r="BC393" s="13"/>
      <c r="BI393" s="6"/>
      <c r="BJ393" s="6"/>
      <c r="BK393" s="33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7"/>
    </row>
    <row r="394" spans="42:101" s="4" customFormat="1">
      <c r="AP394" s="13"/>
      <c r="AU394" s="13"/>
      <c r="BC394" s="13"/>
      <c r="BI394" s="6"/>
      <c r="BJ394" s="6"/>
      <c r="BK394" s="33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7"/>
    </row>
    <row r="395" spans="42:101" s="4" customFormat="1">
      <c r="AP395" s="13"/>
      <c r="AU395" s="13"/>
      <c r="BC395" s="13"/>
      <c r="BI395" s="6"/>
      <c r="BJ395" s="6"/>
      <c r="BK395" s="33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7"/>
    </row>
    <row r="396" spans="42:101" s="4" customFormat="1">
      <c r="AP396" s="13"/>
      <c r="AU396" s="13"/>
      <c r="BC396" s="13"/>
      <c r="BI396" s="6"/>
      <c r="BJ396" s="6"/>
      <c r="BK396" s="33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7"/>
    </row>
    <row r="397" spans="42:101" s="4" customFormat="1">
      <c r="AP397" s="13"/>
      <c r="AU397" s="13"/>
      <c r="BC397" s="13"/>
      <c r="BI397" s="6"/>
      <c r="BJ397" s="6"/>
      <c r="BK397" s="33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7"/>
    </row>
    <row r="398" spans="42:101" s="4" customFormat="1">
      <c r="AP398" s="13"/>
      <c r="AU398" s="13"/>
      <c r="BC398" s="13"/>
      <c r="BI398" s="6"/>
      <c r="BJ398" s="6"/>
      <c r="BK398" s="33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7"/>
    </row>
    <row r="399" spans="42:101" s="4" customFormat="1">
      <c r="AP399" s="13"/>
      <c r="AU399" s="13"/>
      <c r="BC399" s="13"/>
      <c r="BI399" s="6"/>
      <c r="BJ399" s="6"/>
      <c r="BK399" s="33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7"/>
    </row>
    <row r="400" spans="42:101" s="4" customFormat="1">
      <c r="AP400" s="13"/>
      <c r="AU400" s="13"/>
      <c r="BC400" s="13"/>
      <c r="BI400" s="6"/>
      <c r="BJ400" s="6"/>
      <c r="BK400" s="33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7"/>
    </row>
    <row r="401" spans="42:101" s="4" customFormat="1">
      <c r="AP401" s="13"/>
      <c r="AU401" s="13"/>
      <c r="BC401" s="13"/>
      <c r="BI401" s="6"/>
      <c r="BJ401" s="6"/>
      <c r="BK401" s="33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7"/>
    </row>
    <row r="402" spans="42:101" s="4" customFormat="1">
      <c r="AP402" s="13"/>
      <c r="AU402" s="13"/>
      <c r="BC402" s="13"/>
      <c r="BI402" s="6"/>
      <c r="BJ402" s="6"/>
      <c r="BK402" s="33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7"/>
    </row>
    <row r="403" spans="42:101" s="4" customFormat="1">
      <c r="AP403" s="13"/>
      <c r="AU403" s="13"/>
      <c r="BC403" s="13"/>
      <c r="BI403" s="6"/>
      <c r="BJ403" s="6"/>
      <c r="BK403" s="33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7"/>
    </row>
    <row r="404" spans="42:101" s="4" customFormat="1">
      <c r="AP404" s="13"/>
      <c r="AU404" s="13"/>
      <c r="BC404" s="13"/>
      <c r="BI404" s="6"/>
      <c r="BJ404" s="6"/>
      <c r="BK404" s="33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7"/>
    </row>
    <row r="405" spans="42:101" s="4" customFormat="1">
      <c r="AP405" s="13"/>
      <c r="AU405" s="13"/>
      <c r="BC405" s="13"/>
      <c r="BI405" s="6"/>
      <c r="BJ405" s="6"/>
      <c r="BK405" s="33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7"/>
    </row>
    <row r="406" spans="42:101" s="4" customFormat="1">
      <c r="AP406" s="13"/>
      <c r="AU406" s="13"/>
      <c r="BC406" s="13"/>
      <c r="BI406" s="6"/>
      <c r="BJ406" s="6"/>
      <c r="BK406" s="33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7"/>
    </row>
    <row r="407" spans="42:101" s="4" customFormat="1">
      <c r="AP407" s="13"/>
      <c r="AU407" s="13"/>
      <c r="BC407" s="13"/>
      <c r="BI407" s="6"/>
      <c r="BJ407" s="6"/>
      <c r="BK407" s="33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7"/>
    </row>
    <row r="408" spans="42:101" s="4" customFormat="1">
      <c r="AP408" s="13"/>
      <c r="AU408" s="13"/>
      <c r="BC408" s="13"/>
      <c r="BI408" s="6"/>
      <c r="BJ408" s="6"/>
      <c r="BK408" s="33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7"/>
    </row>
    <row r="409" spans="42:101" s="4" customFormat="1">
      <c r="AP409" s="13"/>
      <c r="AU409" s="13"/>
      <c r="BC409" s="13"/>
      <c r="BI409" s="6"/>
      <c r="BJ409" s="6"/>
      <c r="BK409" s="33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7"/>
    </row>
    <row r="410" spans="42:101" s="4" customFormat="1">
      <c r="AP410" s="13"/>
      <c r="AU410" s="13"/>
      <c r="BC410" s="13"/>
      <c r="BI410" s="6"/>
      <c r="BJ410" s="6"/>
      <c r="BK410" s="33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7"/>
    </row>
    <row r="411" spans="42:101" s="4" customFormat="1">
      <c r="AP411" s="13"/>
      <c r="AU411" s="13"/>
      <c r="BC411" s="13"/>
      <c r="BI411" s="6"/>
      <c r="BJ411" s="6"/>
      <c r="BK411" s="33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7"/>
    </row>
    <row r="412" spans="42:101" s="4" customFormat="1">
      <c r="AP412" s="13"/>
      <c r="AU412" s="13"/>
      <c r="BC412" s="13"/>
      <c r="BI412" s="6"/>
      <c r="BJ412" s="6"/>
      <c r="BK412" s="33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7"/>
    </row>
    <row r="413" spans="42:101" s="4" customFormat="1">
      <c r="AP413" s="13"/>
      <c r="AU413" s="13"/>
      <c r="BC413" s="13"/>
      <c r="BI413" s="6"/>
      <c r="BJ413" s="6"/>
      <c r="BK413" s="33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7"/>
    </row>
    <row r="414" spans="42:101" s="4" customFormat="1">
      <c r="AP414" s="13"/>
      <c r="AU414" s="13"/>
      <c r="BC414" s="13"/>
      <c r="BI414" s="6"/>
      <c r="BJ414" s="6"/>
      <c r="BK414" s="33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7"/>
    </row>
    <row r="415" spans="42:101" s="4" customFormat="1">
      <c r="AP415" s="13"/>
      <c r="AU415" s="13"/>
      <c r="BC415" s="13"/>
      <c r="BI415" s="6"/>
      <c r="BJ415" s="6"/>
      <c r="BK415" s="33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7"/>
    </row>
    <row r="416" spans="42:101" s="4" customFormat="1">
      <c r="AP416" s="13"/>
      <c r="AU416" s="13"/>
      <c r="BC416" s="13"/>
      <c r="BI416" s="6"/>
      <c r="BJ416" s="6"/>
      <c r="BK416" s="33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7"/>
    </row>
    <row r="417" spans="42:101" s="4" customFormat="1">
      <c r="AP417" s="13"/>
      <c r="AU417" s="13"/>
      <c r="BC417" s="13"/>
      <c r="BI417" s="6"/>
      <c r="BJ417" s="6"/>
      <c r="BK417" s="33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7"/>
    </row>
    <row r="418" spans="42:101" s="4" customFormat="1">
      <c r="AP418" s="13"/>
      <c r="AU418" s="13"/>
      <c r="BC418" s="13"/>
      <c r="BI418" s="6"/>
      <c r="BJ418" s="6"/>
      <c r="BK418" s="33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7"/>
    </row>
    <row r="419" spans="42:101" s="4" customFormat="1">
      <c r="AP419" s="13"/>
      <c r="AU419" s="13"/>
      <c r="BC419" s="13"/>
      <c r="BI419" s="6"/>
      <c r="BJ419" s="6"/>
      <c r="BK419" s="33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7"/>
    </row>
    <row r="420" spans="42:101" s="4" customFormat="1">
      <c r="AP420" s="13"/>
      <c r="AU420" s="13"/>
      <c r="BC420" s="13"/>
      <c r="BI420" s="6"/>
      <c r="BJ420" s="6"/>
      <c r="BK420" s="33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7"/>
    </row>
    <row r="421" spans="42:101" s="4" customFormat="1">
      <c r="AP421" s="13"/>
      <c r="AU421" s="13"/>
      <c r="BC421" s="13"/>
      <c r="BI421" s="6"/>
      <c r="BJ421" s="6"/>
      <c r="BK421" s="33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7"/>
    </row>
    <row r="422" spans="42:101" s="4" customFormat="1">
      <c r="AP422" s="13"/>
      <c r="AU422" s="13"/>
      <c r="BC422" s="13"/>
      <c r="BI422" s="6"/>
      <c r="BJ422" s="6"/>
      <c r="BK422" s="33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7"/>
    </row>
    <row r="423" spans="42:101" s="4" customFormat="1">
      <c r="AP423" s="13"/>
      <c r="AU423" s="13"/>
      <c r="BC423" s="13"/>
      <c r="BI423" s="6"/>
      <c r="BJ423" s="6"/>
      <c r="BK423" s="33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7"/>
    </row>
    <row r="424" spans="42:101" s="4" customFormat="1">
      <c r="AP424" s="13"/>
      <c r="AU424" s="13"/>
      <c r="BC424" s="13"/>
      <c r="BI424" s="6"/>
      <c r="BJ424" s="6"/>
      <c r="BK424" s="33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7"/>
    </row>
    <row r="425" spans="42:101" s="4" customFormat="1">
      <c r="AP425" s="13"/>
      <c r="AU425" s="13"/>
      <c r="BC425" s="13"/>
      <c r="BI425" s="6"/>
      <c r="BJ425" s="6"/>
      <c r="BK425" s="33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7"/>
    </row>
    <row r="426" spans="42:101" s="4" customFormat="1">
      <c r="AP426" s="13"/>
      <c r="AU426" s="13"/>
      <c r="BC426" s="13"/>
      <c r="BI426" s="6"/>
      <c r="BJ426" s="6"/>
      <c r="BK426" s="33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7"/>
    </row>
    <row r="427" spans="42:101" s="4" customFormat="1">
      <c r="AP427" s="13"/>
      <c r="AU427" s="13"/>
      <c r="BC427" s="13"/>
      <c r="BI427" s="6"/>
      <c r="BJ427" s="6"/>
      <c r="BK427" s="33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7"/>
    </row>
    <row r="428" spans="42:101" s="4" customFormat="1">
      <c r="AP428" s="13"/>
      <c r="AU428" s="13"/>
      <c r="BC428" s="13"/>
      <c r="BI428" s="6"/>
      <c r="BJ428" s="6"/>
      <c r="BK428" s="33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7"/>
    </row>
    <row r="429" spans="42:101" s="4" customFormat="1">
      <c r="AP429" s="13"/>
      <c r="AU429" s="13"/>
      <c r="BC429" s="13"/>
      <c r="BI429" s="6"/>
      <c r="BJ429" s="6"/>
      <c r="BK429" s="33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7"/>
    </row>
    <row r="430" spans="42:101" s="4" customFormat="1">
      <c r="AP430" s="13"/>
      <c r="AU430" s="13"/>
      <c r="BC430" s="13"/>
      <c r="BI430" s="6"/>
      <c r="BJ430" s="6"/>
      <c r="BK430" s="33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7"/>
    </row>
    <row r="431" spans="42:101" s="4" customFormat="1">
      <c r="AP431" s="13"/>
      <c r="AU431" s="13"/>
      <c r="BC431" s="13"/>
      <c r="BI431" s="6"/>
      <c r="BJ431" s="6"/>
      <c r="BK431" s="33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7"/>
    </row>
    <row r="432" spans="42:101" s="4" customFormat="1">
      <c r="AP432" s="13"/>
      <c r="AU432" s="13"/>
      <c r="BC432" s="13"/>
      <c r="BI432" s="6"/>
      <c r="BJ432" s="6"/>
      <c r="BK432" s="33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7"/>
    </row>
    <row r="433" spans="42:101" s="4" customFormat="1">
      <c r="AP433" s="13"/>
      <c r="AU433" s="13"/>
      <c r="BC433" s="13"/>
      <c r="BI433" s="6"/>
      <c r="BJ433" s="6"/>
      <c r="BK433" s="33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7"/>
    </row>
    <row r="434" spans="42:101" s="4" customFormat="1">
      <c r="AP434" s="13"/>
      <c r="AU434" s="13"/>
      <c r="BC434" s="13"/>
      <c r="BI434" s="6"/>
      <c r="BJ434" s="6"/>
      <c r="BK434" s="33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7"/>
    </row>
    <row r="435" spans="42:101" s="4" customFormat="1">
      <c r="AP435" s="13"/>
      <c r="AU435" s="13"/>
      <c r="BC435" s="13"/>
      <c r="BI435" s="6"/>
      <c r="BJ435" s="6"/>
      <c r="BK435" s="33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7"/>
    </row>
    <row r="436" spans="42:101" s="4" customFormat="1">
      <c r="AP436" s="13"/>
      <c r="AU436" s="13"/>
      <c r="BC436" s="13"/>
      <c r="BI436" s="6"/>
      <c r="BJ436" s="6"/>
      <c r="BK436" s="33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7"/>
    </row>
    <row r="437" spans="42:101" s="4" customFormat="1">
      <c r="AP437" s="13"/>
      <c r="AU437" s="13"/>
      <c r="BC437" s="13"/>
      <c r="BI437" s="6"/>
      <c r="BJ437" s="6"/>
      <c r="BK437" s="33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7"/>
    </row>
    <row r="438" spans="42:101" s="4" customFormat="1">
      <c r="AP438" s="13"/>
      <c r="AU438" s="13"/>
      <c r="BC438" s="13"/>
      <c r="BI438" s="6"/>
      <c r="BJ438" s="6"/>
      <c r="BK438" s="33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7"/>
    </row>
    <row r="439" spans="42:101" s="4" customFormat="1">
      <c r="AP439" s="13"/>
      <c r="AU439" s="13"/>
      <c r="BC439" s="13"/>
      <c r="BI439" s="6"/>
      <c r="BJ439" s="6"/>
      <c r="BK439" s="33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7"/>
    </row>
    <row r="440" spans="42:101" s="4" customFormat="1">
      <c r="AP440" s="13"/>
      <c r="AU440" s="13"/>
      <c r="BC440" s="13"/>
      <c r="BI440" s="6"/>
      <c r="BJ440" s="6"/>
      <c r="BK440" s="33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7"/>
    </row>
    <row r="441" spans="42:101" s="4" customFormat="1">
      <c r="AP441" s="13"/>
      <c r="AU441" s="13"/>
      <c r="BC441" s="13"/>
      <c r="BI441" s="6"/>
      <c r="BJ441" s="6"/>
      <c r="BK441" s="33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7"/>
    </row>
    <row r="442" spans="42:101" s="4" customFormat="1">
      <c r="AP442" s="13"/>
      <c r="AU442" s="13"/>
      <c r="BC442" s="13"/>
      <c r="BI442" s="6"/>
      <c r="BJ442" s="6"/>
      <c r="BK442" s="33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7"/>
    </row>
    <row r="443" spans="42:101" s="4" customFormat="1">
      <c r="AP443" s="13"/>
      <c r="AU443" s="13"/>
      <c r="BC443" s="13"/>
      <c r="BI443" s="6"/>
      <c r="BJ443" s="6"/>
      <c r="BK443" s="33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7"/>
    </row>
    <row r="444" spans="42:101" s="4" customFormat="1">
      <c r="AP444" s="13"/>
      <c r="AU444" s="13"/>
      <c r="BC444" s="13"/>
      <c r="BI444" s="6"/>
      <c r="BJ444" s="6"/>
      <c r="BK444" s="33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7"/>
    </row>
    <row r="445" spans="42:101" s="4" customFormat="1">
      <c r="AP445" s="13"/>
      <c r="AU445" s="13"/>
      <c r="BC445" s="13"/>
      <c r="BI445" s="6"/>
      <c r="BJ445" s="6"/>
      <c r="BK445" s="33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7"/>
    </row>
    <row r="446" spans="42:101" s="4" customFormat="1">
      <c r="AP446" s="13"/>
      <c r="AU446" s="13"/>
      <c r="BC446" s="13"/>
      <c r="BI446" s="6"/>
      <c r="BJ446" s="6"/>
      <c r="BK446" s="33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7"/>
    </row>
    <row r="447" spans="42:101" s="4" customFormat="1">
      <c r="AP447" s="13"/>
      <c r="AU447" s="13"/>
      <c r="BC447" s="13"/>
      <c r="BI447" s="6"/>
      <c r="BJ447" s="6"/>
      <c r="BK447" s="33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7"/>
    </row>
    <row r="448" spans="42:101" s="4" customFormat="1">
      <c r="AP448" s="13"/>
      <c r="AU448" s="13"/>
      <c r="BC448" s="13"/>
      <c r="BI448" s="6"/>
      <c r="BJ448" s="6"/>
      <c r="BK448" s="33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7"/>
    </row>
    <row r="449" spans="42:101" s="4" customFormat="1">
      <c r="AP449" s="13"/>
      <c r="AU449" s="13"/>
      <c r="BC449" s="13"/>
      <c r="BI449" s="6"/>
      <c r="BJ449" s="6"/>
      <c r="BK449" s="33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7"/>
    </row>
    <row r="450" spans="42:101" s="4" customFormat="1">
      <c r="AP450" s="13"/>
      <c r="AU450" s="13"/>
      <c r="BC450" s="13"/>
      <c r="BI450" s="6"/>
      <c r="BJ450" s="6"/>
      <c r="BK450" s="33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7"/>
    </row>
    <row r="451" spans="42:101" s="4" customFormat="1">
      <c r="AP451" s="13"/>
      <c r="AU451" s="13"/>
      <c r="BC451" s="13"/>
      <c r="BI451" s="6"/>
      <c r="BJ451" s="6"/>
      <c r="BK451" s="33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7"/>
    </row>
    <row r="452" spans="42:101" s="4" customFormat="1">
      <c r="AP452" s="13"/>
      <c r="AU452" s="13"/>
      <c r="BC452" s="13"/>
      <c r="BI452" s="6"/>
      <c r="BJ452" s="6"/>
      <c r="BK452" s="33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7"/>
    </row>
    <row r="453" spans="42:101" s="4" customFormat="1">
      <c r="AP453" s="13"/>
      <c r="AU453" s="13"/>
      <c r="BC453" s="13"/>
      <c r="BI453" s="6"/>
      <c r="BJ453" s="6"/>
      <c r="BK453" s="33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7"/>
    </row>
    <row r="454" spans="42:101" s="4" customFormat="1">
      <c r="AP454" s="13"/>
      <c r="AU454" s="13"/>
      <c r="BC454" s="13"/>
      <c r="BI454" s="6"/>
      <c r="BJ454" s="6"/>
      <c r="BK454" s="33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7"/>
    </row>
    <row r="455" spans="42:101" s="4" customFormat="1">
      <c r="AP455" s="13"/>
      <c r="AU455" s="13"/>
      <c r="BC455" s="13"/>
      <c r="BI455" s="6"/>
      <c r="BJ455" s="6"/>
      <c r="BK455" s="33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7"/>
    </row>
    <row r="456" spans="42:101" s="4" customFormat="1">
      <c r="AP456" s="13"/>
      <c r="AU456" s="13"/>
      <c r="BC456" s="13"/>
      <c r="BI456" s="6"/>
      <c r="BJ456" s="6"/>
      <c r="BK456" s="33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7"/>
    </row>
    <row r="457" spans="42:101" s="4" customFormat="1">
      <c r="AP457" s="13"/>
      <c r="AU457" s="13"/>
      <c r="BC457" s="13"/>
      <c r="BI457" s="6"/>
      <c r="BJ457" s="6"/>
      <c r="BK457" s="33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7"/>
    </row>
    <row r="458" spans="42:101" s="4" customFormat="1">
      <c r="AP458" s="13"/>
      <c r="AU458" s="13"/>
      <c r="BC458" s="13"/>
      <c r="BI458" s="6"/>
      <c r="BJ458" s="6"/>
      <c r="BK458" s="33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7"/>
    </row>
    <row r="459" spans="42:101" s="4" customFormat="1">
      <c r="AP459" s="13"/>
      <c r="AU459" s="13"/>
      <c r="BC459" s="13"/>
      <c r="BI459" s="6"/>
      <c r="BJ459" s="6"/>
      <c r="BK459" s="33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7"/>
    </row>
    <row r="460" spans="42:101" s="4" customFormat="1">
      <c r="AP460" s="13"/>
      <c r="AU460" s="13"/>
      <c r="BC460" s="13"/>
      <c r="BI460" s="6"/>
      <c r="BJ460" s="6"/>
      <c r="BK460" s="33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7"/>
    </row>
    <row r="461" spans="42:101" s="4" customFormat="1">
      <c r="AP461" s="13"/>
      <c r="AU461" s="13"/>
      <c r="BC461" s="13"/>
      <c r="BI461" s="6"/>
      <c r="BJ461" s="6"/>
      <c r="BK461" s="33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7"/>
    </row>
    <row r="462" spans="42:101" s="4" customFormat="1">
      <c r="AP462" s="13"/>
      <c r="AU462" s="13"/>
      <c r="BC462" s="13"/>
      <c r="BI462" s="6"/>
      <c r="BJ462" s="6"/>
      <c r="BK462" s="33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7"/>
    </row>
    <row r="463" spans="42:101" s="4" customFormat="1">
      <c r="AP463" s="13"/>
      <c r="AU463" s="13"/>
      <c r="BC463" s="13"/>
      <c r="BI463" s="6"/>
      <c r="BJ463" s="6"/>
      <c r="BK463" s="33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7"/>
    </row>
    <row r="464" spans="42:101" s="4" customFormat="1">
      <c r="AP464" s="13"/>
      <c r="AU464" s="13"/>
      <c r="BC464" s="13"/>
      <c r="BI464" s="6"/>
      <c r="BJ464" s="6"/>
      <c r="BK464" s="33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7"/>
    </row>
    <row r="465" spans="42:101" s="4" customFormat="1">
      <c r="AP465" s="13"/>
      <c r="AU465" s="13"/>
      <c r="BC465" s="13"/>
      <c r="BI465" s="6"/>
      <c r="BJ465" s="6"/>
      <c r="BK465" s="33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7"/>
    </row>
    <row r="466" spans="42:101" s="4" customFormat="1">
      <c r="AP466" s="13"/>
      <c r="AU466" s="13"/>
      <c r="BC466" s="13"/>
      <c r="BI466" s="6"/>
      <c r="BJ466" s="6"/>
      <c r="BK466" s="33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7"/>
    </row>
    <row r="467" spans="42:101" s="4" customFormat="1">
      <c r="AP467" s="13"/>
      <c r="AU467" s="13"/>
      <c r="BC467" s="13"/>
      <c r="BI467" s="6"/>
      <c r="BJ467" s="6"/>
      <c r="BK467" s="33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7"/>
    </row>
    <row r="468" spans="42:101" s="4" customFormat="1">
      <c r="AP468" s="13"/>
      <c r="AU468" s="13"/>
      <c r="BC468" s="13"/>
      <c r="BI468" s="6"/>
      <c r="BJ468" s="6"/>
      <c r="BK468" s="33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7"/>
    </row>
    <row r="469" spans="42:101" s="4" customFormat="1">
      <c r="AP469" s="13"/>
      <c r="AU469" s="13"/>
      <c r="BC469" s="13"/>
      <c r="BI469" s="6"/>
      <c r="BJ469" s="6"/>
      <c r="BK469" s="33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7"/>
    </row>
    <row r="470" spans="42:101" s="4" customFormat="1">
      <c r="AP470" s="13"/>
      <c r="AU470" s="13"/>
      <c r="BC470" s="13"/>
      <c r="BI470" s="6"/>
      <c r="BJ470" s="6"/>
      <c r="BK470" s="33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7"/>
    </row>
    <row r="471" spans="42:101" s="4" customFormat="1">
      <c r="AP471" s="13"/>
      <c r="AU471" s="13"/>
      <c r="BC471" s="13"/>
      <c r="BI471" s="6"/>
      <c r="BJ471" s="6"/>
      <c r="BK471" s="33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7"/>
    </row>
    <row r="472" spans="42:101" s="4" customFormat="1">
      <c r="AP472" s="13"/>
      <c r="AU472" s="13"/>
      <c r="BC472" s="13"/>
      <c r="BI472" s="6"/>
      <c r="BJ472" s="6"/>
      <c r="BK472" s="33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7"/>
    </row>
    <row r="473" spans="42:101" s="4" customFormat="1">
      <c r="AP473" s="13"/>
      <c r="AU473" s="13"/>
      <c r="BC473" s="13"/>
      <c r="BI473" s="6"/>
      <c r="BJ473" s="6"/>
      <c r="BK473" s="33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7"/>
    </row>
    <row r="474" spans="42:101" s="4" customFormat="1">
      <c r="AP474" s="13"/>
      <c r="AU474" s="13"/>
      <c r="BC474" s="13"/>
      <c r="BI474" s="6"/>
      <c r="BJ474" s="6"/>
      <c r="BK474" s="33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7"/>
    </row>
    <row r="475" spans="42:101" s="4" customFormat="1">
      <c r="AP475" s="13"/>
      <c r="AU475" s="13"/>
      <c r="BC475" s="13"/>
      <c r="BI475" s="6"/>
      <c r="BJ475" s="6"/>
      <c r="BK475" s="33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7"/>
    </row>
    <row r="476" spans="42:101" s="4" customFormat="1">
      <c r="AP476" s="13"/>
      <c r="AU476" s="13"/>
      <c r="BC476" s="13"/>
      <c r="BI476" s="6"/>
      <c r="BJ476" s="6"/>
      <c r="BK476" s="33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7"/>
    </row>
    <row r="477" spans="42:101" s="4" customFormat="1">
      <c r="AP477" s="13"/>
      <c r="AU477" s="13"/>
      <c r="BC477" s="13"/>
      <c r="BI477" s="6"/>
      <c r="BJ477" s="6"/>
      <c r="BK477" s="33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7"/>
    </row>
    <row r="478" spans="42:101" s="4" customFormat="1">
      <c r="AP478" s="13"/>
      <c r="AU478" s="13"/>
      <c r="BC478" s="13"/>
      <c r="BI478" s="6"/>
      <c r="BJ478" s="6"/>
      <c r="BK478" s="33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7"/>
    </row>
    <row r="479" spans="42:101" s="4" customFormat="1">
      <c r="AP479" s="13"/>
      <c r="AU479" s="13"/>
      <c r="BC479" s="13"/>
      <c r="BI479" s="6"/>
      <c r="BJ479" s="6"/>
      <c r="BK479" s="33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7"/>
    </row>
    <row r="480" spans="42:101" s="4" customFormat="1">
      <c r="AP480" s="13"/>
      <c r="AU480" s="13"/>
      <c r="BC480" s="13"/>
      <c r="BI480" s="6"/>
      <c r="BJ480" s="6"/>
      <c r="BK480" s="33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7"/>
    </row>
    <row r="481" spans="42:101" s="4" customFormat="1">
      <c r="AP481" s="13"/>
      <c r="AU481" s="13"/>
      <c r="BC481" s="13"/>
      <c r="BI481" s="6"/>
      <c r="BJ481" s="6"/>
      <c r="BK481" s="33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7"/>
    </row>
    <row r="482" spans="42:101" s="4" customFormat="1">
      <c r="AP482" s="13"/>
      <c r="AU482" s="13"/>
      <c r="BC482" s="13"/>
      <c r="BI482" s="6"/>
      <c r="BJ482" s="6"/>
      <c r="BK482" s="33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7"/>
    </row>
    <row r="483" spans="42:101" s="4" customFormat="1">
      <c r="AP483" s="13"/>
      <c r="AU483" s="13"/>
      <c r="BC483" s="13"/>
      <c r="BI483" s="6"/>
      <c r="BJ483" s="6"/>
      <c r="BK483" s="33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7"/>
    </row>
    <row r="484" spans="42:101" s="4" customFormat="1">
      <c r="AP484" s="13"/>
      <c r="AU484" s="13"/>
      <c r="BC484" s="13"/>
      <c r="BI484" s="6"/>
      <c r="BJ484" s="6"/>
      <c r="BK484" s="33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7"/>
    </row>
    <row r="485" spans="42:101" s="4" customFormat="1">
      <c r="AP485" s="13"/>
      <c r="AU485" s="13"/>
      <c r="BC485" s="13"/>
      <c r="BI485" s="6"/>
      <c r="BJ485" s="6"/>
      <c r="BK485" s="33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7"/>
    </row>
    <row r="486" spans="42:101" s="4" customFormat="1">
      <c r="AP486" s="13"/>
      <c r="AU486" s="13"/>
      <c r="BC486" s="13"/>
      <c r="BI486" s="6"/>
      <c r="BJ486" s="6"/>
      <c r="BK486" s="33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7"/>
    </row>
    <row r="487" spans="42:101" s="4" customFormat="1">
      <c r="AP487" s="13"/>
      <c r="AU487" s="13"/>
      <c r="BC487" s="13"/>
      <c r="BI487" s="6"/>
      <c r="BJ487" s="6"/>
      <c r="BK487" s="33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7"/>
    </row>
    <row r="488" spans="42:101" s="4" customFormat="1">
      <c r="AP488" s="13"/>
      <c r="AU488" s="13"/>
      <c r="BC488" s="13"/>
      <c r="BI488" s="6"/>
      <c r="BJ488" s="6"/>
      <c r="BK488" s="33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7"/>
    </row>
    <row r="489" spans="42:101" s="4" customFormat="1">
      <c r="AP489" s="13"/>
      <c r="AU489" s="13"/>
      <c r="BC489" s="13"/>
      <c r="BI489" s="6"/>
      <c r="BJ489" s="6"/>
      <c r="BK489" s="33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7"/>
    </row>
    <row r="490" spans="42:101" s="4" customFormat="1">
      <c r="AP490" s="13"/>
      <c r="AU490" s="13"/>
      <c r="BC490" s="13"/>
      <c r="BI490" s="6"/>
      <c r="BJ490" s="6"/>
      <c r="BK490" s="33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7"/>
    </row>
    <row r="491" spans="42:101" s="4" customFormat="1">
      <c r="AP491" s="13"/>
      <c r="AU491" s="13"/>
      <c r="BC491" s="13"/>
      <c r="BI491" s="6"/>
      <c r="BJ491" s="6"/>
      <c r="BK491" s="33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7"/>
    </row>
    <row r="492" spans="42:101" s="4" customFormat="1">
      <c r="AP492" s="13"/>
      <c r="AU492" s="13"/>
      <c r="BC492" s="13"/>
      <c r="BI492" s="6"/>
      <c r="BJ492" s="6"/>
      <c r="BK492" s="33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7"/>
    </row>
    <row r="493" spans="42:101" s="4" customFormat="1">
      <c r="AP493" s="13"/>
      <c r="AU493" s="13"/>
      <c r="BC493" s="13"/>
      <c r="BI493" s="6"/>
      <c r="BJ493" s="6"/>
      <c r="BK493" s="33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7"/>
    </row>
    <row r="494" spans="42:101" s="4" customFormat="1">
      <c r="AP494" s="13"/>
      <c r="AU494" s="13"/>
      <c r="BC494" s="13"/>
      <c r="BI494" s="6"/>
      <c r="BJ494" s="6"/>
      <c r="BK494" s="33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7"/>
    </row>
    <row r="495" spans="42:101" s="4" customFormat="1">
      <c r="AP495" s="13"/>
      <c r="AU495" s="13"/>
      <c r="BC495" s="13"/>
      <c r="BI495" s="6"/>
      <c r="BJ495" s="6"/>
      <c r="BK495" s="33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7"/>
    </row>
    <row r="496" spans="42:101" s="4" customFormat="1">
      <c r="AP496" s="13"/>
      <c r="AU496" s="13"/>
      <c r="BC496" s="13"/>
      <c r="BI496" s="6"/>
      <c r="BJ496" s="6"/>
      <c r="BK496" s="33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7"/>
    </row>
    <row r="497" spans="42:101" s="4" customFormat="1">
      <c r="AP497" s="13"/>
      <c r="AU497" s="13"/>
      <c r="BC497" s="13"/>
      <c r="BI497" s="6"/>
      <c r="BJ497" s="6"/>
      <c r="BK497" s="33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7"/>
    </row>
    <row r="498" spans="42:101" s="4" customFormat="1">
      <c r="AP498" s="13"/>
      <c r="AU498" s="13"/>
      <c r="BC498" s="13"/>
      <c r="BI498" s="6"/>
      <c r="BJ498" s="6"/>
      <c r="BK498" s="33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7"/>
    </row>
    <row r="499" spans="42:101" s="4" customFormat="1">
      <c r="AP499" s="13"/>
      <c r="AU499" s="13"/>
      <c r="BC499" s="13"/>
      <c r="BI499" s="6"/>
      <c r="BJ499" s="6"/>
      <c r="BK499" s="33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7"/>
    </row>
    <row r="500" spans="42:101" s="4" customFormat="1">
      <c r="AP500" s="13"/>
      <c r="AU500" s="13"/>
      <c r="BC500" s="13"/>
      <c r="BI500" s="6"/>
      <c r="BJ500" s="6"/>
      <c r="BK500" s="33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7"/>
    </row>
    <row r="501" spans="42:101" s="4" customFormat="1">
      <c r="AP501" s="13"/>
      <c r="AU501" s="13"/>
      <c r="BC501" s="13"/>
      <c r="BI501" s="6"/>
      <c r="BJ501" s="6"/>
      <c r="BK501" s="33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7"/>
    </row>
    <row r="502" spans="42:101" s="4" customFormat="1">
      <c r="AP502" s="13"/>
      <c r="AU502" s="13"/>
      <c r="BC502" s="13"/>
      <c r="BI502" s="6"/>
      <c r="BJ502" s="6"/>
      <c r="BK502" s="33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7"/>
    </row>
    <row r="503" spans="42:101" s="4" customFormat="1">
      <c r="AP503" s="13"/>
      <c r="AU503" s="13"/>
      <c r="BC503" s="13"/>
      <c r="BI503" s="6"/>
      <c r="BJ503" s="6"/>
      <c r="BK503" s="33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7"/>
    </row>
    <row r="504" spans="42:101" s="4" customFormat="1">
      <c r="AP504" s="13"/>
      <c r="AU504" s="13"/>
      <c r="BC504" s="13"/>
      <c r="BI504" s="6"/>
      <c r="BJ504" s="6"/>
      <c r="BK504" s="33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7"/>
    </row>
    <row r="505" spans="42:101" s="4" customFormat="1">
      <c r="AP505" s="13"/>
      <c r="AU505" s="13"/>
      <c r="BC505" s="13"/>
      <c r="BI505" s="6"/>
      <c r="BJ505" s="6"/>
      <c r="BK505" s="33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7"/>
    </row>
    <row r="506" spans="42:101" s="4" customFormat="1">
      <c r="AP506" s="13"/>
      <c r="AU506" s="13"/>
      <c r="BC506" s="13"/>
      <c r="BI506" s="6"/>
      <c r="BJ506" s="6"/>
      <c r="BK506" s="33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7"/>
    </row>
    <row r="507" spans="42:101" s="4" customFormat="1">
      <c r="AP507" s="13"/>
      <c r="AU507" s="13"/>
      <c r="BC507" s="13"/>
      <c r="BI507" s="6"/>
      <c r="BJ507" s="6"/>
      <c r="BK507" s="33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7"/>
    </row>
    <row r="508" spans="42:101" s="4" customFormat="1">
      <c r="AP508" s="13"/>
      <c r="AU508" s="13"/>
      <c r="BC508" s="13"/>
      <c r="BI508" s="6"/>
      <c r="BJ508" s="6"/>
      <c r="BK508" s="33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7"/>
    </row>
    <row r="509" spans="42:101" s="4" customFormat="1">
      <c r="AP509" s="13"/>
      <c r="AU509" s="13"/>
      <c r="BC509" s="13"/>
      <c r="BI509" s="6"/>
      <c r="BJ509" s="6"/>
      <c r="BK509" s="33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7"/>
    </row>
    <row r="510" spans="42:101" s="4" customFormat="1">
      <c r="AP510" s="13"/>
      <c r="AU510" s="13"/>
      <c r="BC510" s="13"/>
      <c r="BI510" s="6"/>
      <c r="BJ510" s="6"/>
      <c r="BK510" s="33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7"/>
    </row>
    <row r="511" spans="42:101" s="4" customFormat="1">
      <c r="AP511" s="13"/>
      <c r="AU511" s="13"/>
      <c r="BC511" s="13"/>
      <c r="BI511" s="6"/>
      <c r="BJ511" s="6"/>
      <c r="BK511" s="33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7"/>
    </row>
    <row r="512" spans="42:101" s="4" customFormat="1">
      <c r="AP512" s="13"/>
      <c r="AU512" s="13"/>
      <c r="BC512" s="13"/>
      <c r="BI512" s="6"/>
      <c r="BJ512" s="6"/>
      <c r="BK512" s="33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7"/>
    </row>
    <row r="513" spans="42:101" s="4" customFormat="1">
      <c r="AP513" s="13"/>
      <c r="AU513" s="13"/>
      <c r="BC513" s="13"/>
      <c r="BI513" s="6"/>
      <c r="BJ513" s="6"/>
      <c r="BK513" s="33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7"/>
    </row>
    <row r="514" spans="42:101" s="4" customFormat="1">
      <c r="AP514" s="13"/>
      <c r="AU514" s="13"/>
      <c r="BC514" s="13"/>
      <c r="BI514" s="6"/>
      <c r="BJ514" s="6"/>
      <c r="BK514" s="33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7"/>
    </row>
    <row r="515" spans="42:101" s="4" customFormat="1">
      <c r="AP515" s="13"/>
      <c r="AU515" s="13"/>
      <c r="BC515" s="13"/>
      <c r="BI515" s="6"/>
      <c r="BJ515" s="6"/>
      <c r="BK515" s="33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7"/>
    </row>
    <row r="516" spans="42:101" s="4" customFormat="1">
      <c r="AP516" s="13"/>
      <c r="AU516" s="13"/>
      <c r="BC516" s="13"/>
      <c r="BI516" s="6"/>
      <c r="BJ516" s="6"/>
      <c r="BK516" s="33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7"/>
    </row>
    <row r="517" spans="42:101" s="4" customFormat="1">
      <c r="AP517" s="13"/>
      <c r="AU517" s="13"/>
      <c r="BC517" s="13"/>
      <c r="BI517" s="6"/>
      <c r="BJ517" s="6"/>
      <c r="BK517" s="33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7"/>
    </row>
    <row r="518" spans="42:101" s="4" customFormat="1">
      <c r="AP518" s="13"/>
      <c r="AU518" s="13"/>
      <c r="BC518" s="13"/>
      <c r="BI518" s="6"/>
      <c r="BJ518" s="6"/>
      <c r="BK518" s="33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7"/>
    </row>
    <row r="519" spans="42:101" s="4" customFormat="1">
      <c r="AP519" s="13"/>
      <c r="AU519" s="13"/>
      <c r="BC519" s="13"/>
      <c r="BI519" s="6"/>
      <c r="BJ519" s="6"/>
      <c r="BK519" s="33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7"/>
    </row>
    <row r="520" spans="42:101" s="4" customFormat="1">
      <c r="AP520" s="13"/>
      <c r="AU520" s="13"/>
      <c r="BC520" s="13"/>
      <c r="BI520" s="6"/>
      <c r="BJ520" s="6"/>
      <c r="BK520" s="33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7"/>
    </row>
    <row r="521" spans="42:101" s="4" customFormat="1">
      <c r="AP521" s="13"/>
      <c r="AU521" s="13"/>
      <c r="BC521" s="13"/>
      <c r="BI521" s="6"/>
      <c r="BJ521" s="6"/>
      <c r="BK521" s="33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7"/>
    </row>
    <row r="522" spans="42:101" s="4" customFormat="1">
      <c r="AP522" s="13"/>
      <c r="AU522" s="13"/>
      <c r="BC522" s="13"/>
      <c r="BI522" s="6"/>
      <c r="BJ522" s="6"/>
      <c r="BK522" s="33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7"/>
    </row>
    <row r="523" spans="42:101" s="4" customFormat="1">
      <c r="AP523" s="13"/>
      <c r="AU523" s="13"/>
      <c r="BC523" s="13"/>
      <c r="BI523" s="6"/>
      <c r="BJ523" s="6"/>
      <c r="BK523" s="33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7"/>
    </row>
    <row r="524" spans="42:101" s="4" customFormat="1">
      <c r="AP524" s="13"/>
      <c r="AU524" s="13"/>
      <c r="BC524" s="13"/>
      <c r="BI524" s="6"/>
      <c r="BJ524" s="6"/>
      <c r="BK524" s="33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7"/>
    </row>
    <row r="525" spans="42:101" s="4" customFormat="1">
      <c r="AP525" s="13"/>
      <c r="AU525" s="13"/>
      <c r="BC525" s="13"/>
      <c r="BI525" s="6"/>
      <c r="BJ525" s="6"/>
      <c r="BK525" s="33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7"/>
    </row>
    <row r="526" spans="42:101" s="4" customFormat="1">
      <c r="AP526" s="13"/>
      <c r="AU526" s="13"/>
      <c r="BC526" s="13"/>
      <c r="BI526" s="6"/>
      <c r="BJ526" s="6"/>
      <c r="BK526" s="33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7"/>
    </row>
    <row r="527" spans="42:101" s="4" customFormat="1">
      <c r="AP527" s="13"/>
      <c r="AU527" s="13"/>
      <c r="BC527" s="13"/>
      <c r="BI527" s="6"/>
      <c r="BJ527" s="6"/>
      <c r="BK527" s="33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7"/>
    </row>
    <row r="528" spans="42:101" s="4" customFormat="1">
      <c r="AP528" s="13"/>
      <c r="AU528" s="13"/>
      <c r="BC528" s="13"/>
      <c r="BI528" s="6"/>
      <c r="BJ528" s="6"/>
      <c r="BK528" s="33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7"/>
    </row>
    <row r="529" spans="42:101" s="4" customFormat="1">
      <c r="AP529" s="13"/>
      <c r="AU529" s="13"/>
      <c r="BC529" s="13"/>
      <c r="BI529" s="6"/>
      <c r="BJ529" s="6"/>
      <c r="BK529" s="33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7"/>
    </row>
    <row r="530" spans="42:101" s="4" customFormat="1">
      <c r="AP530" s="13"/>
      <c r="AU530" s="13"/>
      <c r="BC530" s="13"/>
      <c r="BI530" s="6"/>
      <c r="BJ530" s="6"/>
      <c r="BK530" s="33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7"/>
    </row>
    <row r="531" spans="42:101" s="4" customFormat="1">
      <c r="AP531" s="13"/>
      <c r="AU531" s="13"/>
      <c r="BC531" s="13"/>
      <c r="BI531" s="6"/>
      <c r="BJ531" s="6"/>
      <c r="BK531" s="33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7"/>
    </row>
    <row r="532" spans="42:101" s="4" customFormat="1">
      <c r="AP532" s="13"/>
      <c r="AU532" s="13"/>
      <c r="BC532" s="13"/>
      <c r="BI532" s="6"/>
      <c r="BJ532" s="6"/>
      <c r="BK532" s="33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7"/>
    </row>
    <row r="533" spans="42:101" s="4" customFormat="1">
      <c r="AP533" s="13"/>
      <c r="AU533" s="13"/>
      <c r="BC533" s="13"/>
      <c r="BI533" s="6"/>
      <c r="BJ533" s="6"/>
      <c r="BK533" s="33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7"/>
    </row>
    <row r="534" spans="42:101" s="4" customFormat="1">
      <c r="AP534" s="13"/>
      <c r="AU534" s="13"/>
      <c r="BC534" s="13"/>
      <c r="BI534" s="6"/>
      <c r="BJ534" s="6"/>
      <c r="BK534" s="33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7"/>
    </row>
    <row r="535" spans="42:101" s="4" customFormat="1">
      <c r="AP535" s="13"/>
      <c r="AU535" s="13"/>
      <c r="BC535" s="13"/>
      <c r="BI535" s="6"/>
      <c r="BJ535" s="6"/>
      <c r="BK535" s="33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7"/>
    </row>
    <row r="536" spans="42:101" s="4" customFormat="1">
      <c r="AP536" s="13"/>
      <c r="AU536" s="13"/>
      <c r="BC536" s="13"/>
      <c r="BI536" s="6"/>
      <c r="BJ536" s="6"/>
      <c r="BK536" s="33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7"/>
    </row>
    <row r="537" spans="42:101" s="4" customFormat="1">
      <c r="AP537" s="13"/>
      <c r="AU537" s="13"/>
      <c r="BC537" s="13"/>
      <c r="BI537" s="6"/>
      <c r="BJ537" s="6"/>
      <c r="BK537" s="33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7"/>
    </row>
    <row r="538" spans="42:101" s="4" customFormat="1">
      <c r="AP538" s="13"/>
      <c r="AU538" s="13"/>
      <c r="BC538" s="13"/>
      <c r="BI538" s="6"/>
      <c r="BJ538" s="6"/>
      <c r="BK538" s="33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7"/>
    </row>
    <row r="539" spans="42:101" s="4" customFormat="1">
      <c r="AP539" s="13"/>
      <c r="AU539" s="13"/>
      <c r="BC539" s="13"/>
      <c r="BI539" s="6"/>
      <c r="BJ539" s="6"/>
      <c r="BK539" s="33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7"/>
    </row>
    <row r="540" spans="42:101" s="4" customFormat="1">
      <c r="AP540" s="13"/>
      <c r="AU540" s="13"/>
      <c r="BC540" s="13"/>
      <c r="BI540" s="6"/>
      <c r="BJ540" s="6"/>
      <c r="BK540" s="33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7"/>
    </row>
    <row r="541" spans="42:101" s="4" customFormat="1">
      <c r="AP541" s="13"/>
      <c r="AU541" s="13"/>
      <c r="BC541" s="13"/>
      <c r="BI541" s="6"/>
      <c r="BJ541" s="6"/>
      <c r="BK541" s="33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7"/>
    </row>
    <row r="542" spans="42:101" s="4" customFormat="1">
      <c r="AP542" s="13"/>
      <c r="AU542" s="13"/>
      <c r="BC542" s="13"/>
      <c r="BI542" s="6"/>
      <c r="BJ542" s="6"/>
      <c r="BK542" s="33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7"/>
    </row>
    <row r="543" spans="42:101" s="4" customFormat="1">
      <c r="AP543" s="13"/>
      <c r="AU543" s="13"/>
      <c r="BC543" s="13"/>
      <c r="BI543" s="6"/>
      <c r="BJ543" s="6"/>
      <c r="BK543" s="33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7"/>
    </row>
    <row r="544" spans="42:101" s="4" customFormat="1">
      <c r="AP544" s="13"/>
      <c r="AU544" s="13"/>
      <c r="BC544" s="13"/>
      <c r="BI544" s="6"/>
      <c r="BJ544" s="6"/>
      <c r="BK544" s="33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7"/>
    </row>
    <row r="545" spans="42:101" s="4" customFormat="1">
      <c r="AP545" s="13"/>
      <c r="AU545" s="13"/>
      <c r="BC545" s="13"/>
      <c r="BI545" s="6"/>
      <c r="BJ545" s="6"/>
      <c r="BK545" s="33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7"/>
    </row>
    <row r="546" spans="42:101" s="4" customFormat="1">
      <c r="AP546" s="13"/>
      <c r="AU546" s="13"/>
      <c r="BC546" s="13"/>
      <c r="BI546" s="6"/>
      <c r="BJ546" s="6"/>
      <c r="BK546" s="33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7"/>
    </row>
    <row r="547" spans="42:101" s="4" customFormat="1">
      <c r="AP547" s="13"/>
      <c r="AU547" s="13"/>
      <c r="BC547" s="13"/>
      <c r="BI547" s="6"/>
      <c r="BJ547" s="6"/>
      <c r="BK547" s="33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7"/>
    </row>
    <row r="548" spans="42:101" s="4" customFormat="1">
      <c r="AP548" s="13"/>
      <c r="AU548" s="13"/>
      <c r="BC548" s="13"/>
      <c r="BI548" s="6"/>
      <c r="BJ548" s="6"/>
      <c r="BK548" s="33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7"/>
    </row>
    <row r="549" spans="42:101" s="4" customFormat="1">
      <c r="AP549" s="13"/>
      <c r="AU549" s="13"/>
      <c r="BC549" s="13"/>
      <c r="BI549" s="6"/>
      <c r="BJ549" s="6"/>
      <c r="BK549" s="33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7"/>
    </row>
    <row r="550" spans="42:101" s="4" customFormat="1">
      <c r="AP550" s="13"/>
      <c r="AU550" s="13"/>
      <c r="BC550" s="13"/>
      <c r="BI550" s="6"/>
      <c r="BJ550" s="6"/>
      <c r="BK550" s="33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7"/>
    </row>
    <row r="551" spans="42:101" s="4" customFormat="1">
      <c r="AP551" s="13"/>
      <c r="AU551" s="13"/>
      <c r="BC551" s="13"/>
      <c r="BI551" s="6"/>
      <c r="BJ551" s="6"/>
      <c r="BK551" s="33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7"/>
    </row>
    <row r="552" spans="42:101" s="4" customFormat="1">
      <c r="AP552" s="13"/>
      <c r="AU552" s="13"/>
      <c r="BC552" s="13"/>
      <c r="BI552" s="6"/>
      <c r="BJ552" s="6"/>
      <c r="BK552" s="33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7"/>
    </row>
    <row r="553" spans="42:101" s="4" customFormat="1">
      <c r="AP553" s="13"/>
      <c r="AU553" s="13"/>
      <c r="BC553" s="13"/>
      <c r="BI553" s="6"/>
      <c r="BJ553" s="6"/>
      <c r="BK553" s="33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7"/>
    </row>
    <row r="554" spans="42:101" s="4" customFormat="1">
      <c r="AP554" s="13"/>
      <c r="AU554" s="13"/>
      <c r="BC554" s="13"/>
      <c r="BI554" s="6"/>
      <c r="BJ554" s="6"/>
      <c r="BK554" s="33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7"/>
    </row>
    <row r="555" spans="42:101" s="4" customFormat="1">
      <c r="AP555" s="13"/>
      <c r="AU555" s="13"/>
      <c r="BC555" s="13"/>
      <c r="BI555" s="6"/>
      <c r="BJ555" s="6"/>
      <c r="BK555" s="33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7"/>
    </row>
    <row r="556" spans="42:101" s="4" customFormat="1">
      <c r="AP556" s="13"/>
      <c r="AU556" s="13"/>
      <c r="BC556" s="13"/>
      <c r="BI556" s="6"/>
      <c r="BJ556" s="6"/>
      <c r="BK556" s="33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7"/>
    </row>
    <row r="557" spans="42:101" s="4" customFormat="1">
      <c r="AP557" s="13"/>
      <c r="AU557" s="13"/>
      <c r="BC557" s="13"/>
      <c r="BI557" s="6"/>
      <c r="BJ557" s="6"/>
      <c r="BK557" s="33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7"/>
    </row>
    <row r="558" spans="42:101" s="4" customFormat="1">
      <c r="AP558" s="13"/>
      <c r="AU558" s="13"/>
      <c r="BC558" s="13"/>
      <c r="BI558" s="6"/>
      <c r="BJ558" s="6"/>
      <c r="BK558" s="33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7"/>
    </row>
    <row r="559" spans="42:101" s="4" customFormat="1">
      <c r="AP559" s="13"/>
      <c r="AU559" s="13"/>
      <c r="BC559" s="13"/>
      <c r="BI559" s="6"/>
      <c r="BJ559" s="6"/>
      <c r="BK559" s="33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7"/>
    </row>
    <row r="560" spans="42:101" s="4" customFormat="1">
      <c r="AP560" s="13"/>
      <c r="AU560" s="13"/>
      <c r="BC560" s="13"/>
      <c r="BI560" s="6"/>
      <c r="BJ560" s="6"/>
      <c r="BK560" s="33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7"/>
    </row>
    <row r="561" spans="42:101" s="4" customFormat="1">
      <c r="AP561" s="13"/>
      <c r="AU561" s="13"/>
      <c r="BC561" s="13"/>
      <c r="BI561" s="6"/>
      <c r="BJ561" s="6"/>
      <c r="BK561" s="33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7"/>
    </row>
    <row r="562" spans="42:101" s="4" customFormat="1">
      <c r="AP562" s="13"/>
      <c r="AU562" s="13"/>
      <c r="BC562" s="13"/>
      <c r="BI562" s="6"/>
      <c r="BJ562" s="6"/>
      <c r="BK562" s="33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7"/>
    </row>
    <row r="563" spans="42:101" s="4" customFormat="1">
      <c r="AP563" s="13"/>
      <c r="AU563" s="13"/>
      <c r="BC563" s="13"/>
      <c r="BI563" s="6"/>
      <c r="BJ563" s="6"/>
      <c r="BK563" s="33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7"/>
    </row>
    <row r="564" spans="42:101" s="4" customFormat="1">
      <c r="AP564" s="13"/>
      <c r="AU564" s="13"/>
      <c r="BC564" s="13"/>
      <c r="BI564" s="6"/>
      <c r="BJ564" s="6"/>
      <c r="BK564" s="33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7"/>
    </row>
    <row r="565" spans="42:101" s="4" customFormat="1">
      <c r="AP565" s="13"/>
      <c r="AU565" s="13"/>
      <c r="BC565" s="13"/>
      <c r="BI565" s="6"/>
      <c r="BJ565" s="6"/>
      <c r="BK565" s="33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7"/>
    </row>
    <row r="566" spans="42:101" s="4" customFormat="1">
      <c r="AP566" s="13"/>
      <c r="AU566" s="13"/>
      <c r="BC566" s="13"/>
      <c r="BI566" s="6"/>
      <c r="BJ566" s="6"/>
      <c r="BK566" s="33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7"/>
    </row>
    <row r="567" spans="42:101" s="4" customFormat="1">
      <c r="AP567" s="13"/>
      <c r="AU567" s="13"/>
      <c r="BC567" s="13"/>
      <c r="BI567" s="6"/>
      <c r="BJ567" s="6"/>
      <c r="BK567" s="33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7"/>
    </row>
    <row r="568" spans="42:101" s="4" customFormat="1">
      <c r="AP568" s="13"/>
      <c r="AU568" s="13"/>
      <c r="BC568" s="13"/>
      <c r="BI568" s="6"/>
      <c r="BJ568" s="6"/>
      <c r="BK568" s="33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7"/>
    </row>
    <row r="569" spans="42:101" s="4" customFormat="1">
      <c r="AP569" s="13"/>
      <c r="AU569" s="13"/>
      <c r="BC569" s="13"/>
      <c r="BI569" s="6"/>
      <c r="BJ569" s="6"/>
      <c r="BK569" s="33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7"/>
    </row>
    <row r="570" spans="42:101" s="4" customFormat="1">
      <c r="AP570" s="13"/>
      <c r="AU570" s="13"/>
      <c r="BC570" s="13"/>
      <c r="BI570" s="6"/>
      <c r="BJ570" s="6"/>
      <c r="BK570" s="33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7"/>
    </row>
    <row r="571" spans="42:101" s="4" customFormat="1">
      <c r="AP571" s="13"/>
      <c r="AU571" s="13"/>
      <c r="BC571" s="13"/>
      <c r="BI571" s="6"/>
      <c r="BJ571" s="6"/>
      <c r="BK571" s="33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7"/>
    </row>
    <row r="572" spans="42:101" s="4" customFormat="1">
      <c r="AP572" s="13"/>
      <c r="AU572" s="13"/>
      <c r="BC572" s="13"/>
      <c r="BI572" s="6"/>
      <c r="BJ572" s="6"/>
      <c r="BK572" s="33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7"/>
    </row>
    <row r="573" spans="42:101" s="4" customFormat="1">
      <c r="AP573" s="13"/>
      <c r="AU573" s="13"/>
      <c r="BC573" s="13"/>
      <c r="BI573" s="6"/>
      <c r="BJ573" s="6"/>
      <c r="BK573" s="33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7"/>
    </row>
    <row r="574" spans="42:101" s="4" customFormat="1">
      <c r="AP574" s="13"/>
      <c r="AU574" s="13"/>
      <c r="BC574" s="13"/>
      <c r="BI574" s="6"/>
      <c r="BJ574" s="6"/>
      <c r="BK574" s="33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7"/>
    </row>
    <row r="575" spans="42:101" s="4" customFormat="1">
      <c r="AP575" s="13"/>
      <c r="AU575" s="13"/>
      <c r="BC575" s="13"/>
      <c r="BI575" s="6"/>
      <c r="BJ575" s="6"/>
      <c r="BK575" s="33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7"/>
    </row>
    <row r="576" spans="42:101" s="4" customFormat="1">
      <c r="AP576" s="13"/>
      <c r="AU576" s="13"/>
      <c r="BC576" s="13"/>
      <c r="BI576" s="6"/>
      <c r="BJ576" s="6"/>
      <c r="BK576" s="33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7"/>
    </row>
    <row r="577" spans="42:101" s="4" customFormat="1">
      <c r="AP577" s="13"/>
      <c r="AU577" s="13"/>
      <c r="BC577" s="13"/>
      <c r="BI577" s="6"/>
      <c r="BJ577" s="6"/>
      <c r="BK577" s="33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7"/>
    </row>
    <row r="578" spans="42:101" s="4" customFormat="1">
      <c r="AP578" s="13"/>
      <c r="AU578" s="13"/>
      <c r="BC578" s="13"/>
      <c r="BI578" s="6"/>
      <c r="BJ578" s="6"/>
      <c r="BK578" s="33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7"/>
    </row>
    <row r="579" spans="42:101" s="4" customFormat="1">
      <c r="AP579" s="13"/>
      <c r="AU579" s="13"/>
      <c r="BC579" s="13"/>
      <c r="BI579" s="6"/>
      <c r="BJ579" s="6"/>
      <c r="BK579" s="33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7"/>
    </row>
    <row r="580" spans="42:101" s="4" customFormat="1">
      <c r="AP580" s="13"/>
      <c r="AU580" s="13"/>
      <c r="BC580" s="13"/>
      <c r="BI580" s="6"/>
      <c r="BJ580" s="6"/>
      <c r="BK580" s="33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7"/>
    </row>
    <row r="581" spans="42:101" s="4" customFormat="1">
      <c r="AP581" s="13"/>
      <c r="AU581" s="13"/>
      <c r="BC581" s="13"/>
      <c r="BI581" s="6"/>
      <c r="BJ581" s="6"/>
      <c r="BK581" s="33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7"/>
    </row>
    <row r="582" spans="42:101" s="4" customFormat="1">
      <c r="AP582" s="13"/>
      <c r="AU582" s="13"/>
      <c r="BC582" s="13"/>
      <c r="BI582" s="6"/>
      <c r="BJ582" s="6"/>
      <c r="BK582" s="33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7"/>
    </row>
    <row r="583" spans="42:101" s="4" customFormat="1">
      <c r="AP583" s="13"/>
      <c r="AU583" s="13"/>
      <c r="BC583" s="13"/>
      <c r="BI583" s="6"/>
      <c r="BJ583" s="6"/>
      <c r="BK583" s="33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7"/>
    </row>
    <row r="584" spans="42:101" s="4" customFormat="1">
      <c r="AP584" s="13"/>
      <c r="AU584" s="13"/>
      <c r="BC584" s="13"/>
      <c r="BI584" s="6"/>
      <c r="BJ584" s="6"/>
      <c r="BK584" s="33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7"/>
    </row>
    <row r="585" spans="42:101" s="4" customFormat="1">
      <c r="AP585" s="13"/>
      <c r="AU585" s="13"/>
      <c r="BC585" s="13"/>
      <c r="BI585" s="6"/>
      <c r="BJ585" s="6"/>
      <c r="BK585" s="33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7"/>
    </row>
    <row r="586" spans="42:101" s="4" customFormat="1">
      <c r="AP586" s="13"/>
      <c r="AU586" s="13"/>
      <c r="BC586" s="13"/>
      <c r="BI586" s="6"/>
      <c r="BJ586" s="6"/>
      <c r="BK586" s="33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7"/>
    </row>
    <row r="587" spans="42:101" s="4" customFormat="1">
      <c r="AP587" s="13"/>
      <c r="AU587" s="13"/>
      <c r="BC587" s="13"/>
      <c r="BI587" s="6"/>
      <c r="BJ587" s="6"/>
      <c r="BK587" s="33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7"/>
    </row>
    <row r="588" spans="42:101" s="4" customFormat="1">
      <c r="AP588" s="13"/>
      <c r="AU588" s="13"/>
      <c r="BC588" s="13"/>
      <c r="BI588" s="6"/>
      <c r="BJ588" s="6"/>
      <c r="BK588" s="33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7"/>
    </row>
    <row r="589" spans="42:101" s="4" customFormat="1">
      <c r="AP589" s="13"/>
      <c r="AU589" s="13"/>
      <c r="BC589" s="13"/>
      <c r="BI589" s="6"/>
      <c r="BJ589" s="6"/>
      <c r="BK589" s="33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7"/>
    </row>
    <row r="590" spans="42:101" s="4" customFormat="1">
      <c r="AP590" s="13"/>
      <c r="AU590" s="13"/>
      <c r="BC590" s="13"/>
      <c r="BI590" s="6"/>
      <c r="BJ590" s="6"/>
      <c r="BK590" s="33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7"/>
    </row>
    <row r="591" spans="42:101" s="4" customFormat="1">
      <c r="AP591" s="13"/>
      <c r="AU591" s="13"/>
      <c r="BC591" s="13"/>
      <c r="BI591" s="6"/>
      <c r="BJ591" s="6"/>
      <c r="BK591" s="33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7"/>
    </row>
    <row r="592" spans="42:101" s="4" customFormat="1">
      <c r="AP592" s="13"/>
      <c r="AU592" s="13"/>
      <c r="BC592" s="13"/>
      <c r="BI592" s="6"/>
      <c r="BJ592" s="6"/>
      <c r="BK592" s="33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7"/>
    </row>
    <row r="593" spans="42:101" s="4" customFormat="1">
      <c r="AP593" s="13"/>
      <c r="AU593" s="13"/>
      <c r="BC593" s="13"/>
      <c r="BI593" s="6"/>
      <c r="BJ593" s="6"/>
      <c r="BK593" s="33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7"/>
    </row>
    <row r="594" spans="42:101" s="4" customFormat="1">
      <c r="AP594" s="13"/>
      <c r="AU594" s="13"/>
      <c r="BC594" s="13"/>
      <c r="BI594" s="6"/>
      <c r="BJ594" s="6"/>
      <c r="BK594" s="33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7"/>
    </row>
    <row r="595" spans="42:101" s="4" customFormat="1">
      <c r="AP595" s="13"/>
      <c r="AU595" s="13"/>
      <c r="BC595" s="13"/>
      <c r="BI595" s="6"/>
      <c r="BJ595" s="6"/>
      <c r="BK595" s="33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7"/>
    </row>
    <row r="596" spans="42:101" s="4" customFormat="1">
      <c r="AP596" s="13"/>
      <c r="AU596" s="13"/>
      <c r="BC596" s="13"/>
      <c r="BI596" s="6"/>
      <c r="BJ596" s="6"/>
      <c r="BK596" s="33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7"/>
    </row>
    <row r="597" spans="42:101" s="4" customFormat="1">
      <c r="AP597" s="13"/>
      <c r="AU597" s="13"/>
      <c r="BC597" s="13"/>
      <c r="BI597" s="6"/>
      <c r="BJ597" s="6"/>
      <c r="BK597" s="33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7"/>
    </row>
    <row r="598" spans="42:101" s="4" customFormat="1">
      <c r="AP598" s="13"/>
      <c r="AU598" s="13"/>
      <c r="BC598" s="13"/>
      <c r="BI598" s="6"/>
      <c r="BJ598" s="6"/>
      <c r="BK598" s="33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7"/>
    </row>
    <row r="599" spans="42:101" s="4" customFormat="1">
      <c r="AP599" s="13"/>
      <c r="AU599" s="13"/>
      <c r="BC599" s="13"/>
      <c r="BI599" s="6"/>
      <c r="BJ599" s="6"/>
      <c r="BK599" s="33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7"/>
    </row>
    <row r="600" spans="42:101" s="4" customFormat="1">
      <c r="AP600" s="13"/>
      <c r="AU600" s="13"/>
      <c r="BC600" s="13"/>
      <c r="BI600" s="6"/>
      <c r="BJ600" s="6"/>
      <c r="BK600" s="33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7"/>
    </row>
    <row r="601" spans="42:101" s="4" customFormat="1">
      <c r="AP601" s="13"/>
      <c r="AU601" s="13"/>
      <c r="BC601" s="13"/>
      <c r="BI601" s="6"/>
      <c r="BJ601" s="6"/>
      <c r="BK601" s="33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7"/>
    </row>
    <row r="602" spans="42:101" s="4" customFormat="1">
      <c r="AP602" s="13"/>
      <c r="AU602" s="13"/>
      <c r="BC602" s="13"/>
      <c r="BI602" s="6"/>
      <c r="BJ602" s="6"/>
      <c r="BK602" s="33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7"/>
    </row>
    <row r="603" spans="42:101" s="4" customFormat="1">
      <c r="AP603" s="13"/>
      <c r="AU603" s="13"/>
      <c r="BC603" s="13"/>
      <c r="BI603" s="6"/>
      <c r="BJ603" s="6"/>
      <c r="BK603" s="33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7"/>
    </row>
    <row r="604" spans="42:101" s="4" customFormat="1">
      <c r="AP604" s="13"/>
      <c r="AU604" s="13"/>
      <c r="BC604" s="13"/>
      <c r="BI604" s="6"/>
      <c r="BJ604" s="6"/>
      <c r="BK604" s="33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7"/>
    </row>
    <row r="605" spans="42:101" s="4" customFormat="1">
      <c r="AP605" s="13"/>
      <c r="AU605" s="13"/>
      <c r="BC605" s="13"/>
      <c r="BI605" s="6"/>
      <c r="BJ605" s="6"/>
      <c r="BK605" s="33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7"/>
    </row>
    <row r="606" spans="42:101" s="4" customFormat="1">
      <c r="AP606" s="13"/>
      <c r="AU606" s="13"/>
      <c r="BC606" s="13"/>
      <c r="BI606" s="6"/>
      <c r="BJ606" s="6"/>
      <c r="BK606" s="33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7"/>
    </row>
    <row r="607" spans="42:101" s="4" customFormat="1">
      <c r="AP607" s="13"/>
      <c r="AU607" s="13"/>
      <c r="BC607" s="13"/>
      <c r="BI607" s="6"/>
      <c r="BJ607" s="6"/>
      <c r="BK607" s="33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7"/>
    </row>
    <row r="608" spans="42:101" s="4" customFormat="1">
      <c r="AP608" s="13"/>
      <c r="AU608" s="13"/>
      <c r="BC608" s="13"/>
      <c r="BI608" s="6"/>
      <c r="BJ608" s="6"/>
      <c r="BK608" s="33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7"/>
    </row>
    <row r="609" spans="42:101" s="4" customFormat="1">
      <c r="AP609" s="13"/>
      <c r="AU609" s="13"/>
      <c r="BC609" s="13"/>
      <c r="BI609" s="6"/>
      <c r="BJ609" s="6"/>
      <c r="BK609" s="33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7"/>
    </row>
    <row r="610" spans="42:101" s="4" customFormat="1">
      <c r="AP610" s="13"/>
      <c r="AU610" s="13"/>
      <c r="BC610" s="13"/>
      <c r="BI610" s="6"/>
      <c r="BJ610" s="6"/>
      <c r="BK610" s="33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7"/>
    </row>
    <row r="611" spans="42:101" s="4" customFormat="1">
      <c r="AP611" s="13"/>
      <c r="AU611" s="13"/>
      <c r="BC611" s="13"/>
      <c r="BI611" s="6"/>
      <c r="BJ611" s="6"/>
      <c r="BK611" s="33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7"/>
    </row>
    <row r="612" spans="42:101" s="4" customFormat="1">
      <c r="AP612" s="13"/>
      <c r="AU612" s="13"/>
      <c r="BC612" s="13"/>
      <c r="BI612" s="6"/>
      <c r="BJ612" s="6"/>
      <c r="BK612" s="33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7"/>
    </row>
    <row r="613" spans="42:101" s="4" customFormat="1">
      <c r="AP613" s="13"/>
      <c r="AU613" s="13"/>
      <c r="BC613" s="13"/>
      <c r="BI613" s="6"/>
      <c r="BJ613" s="6"/>
      <c r="BK613" s="33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7"/>
    </row>
    <row r="614" spans="42:101" s="4" customFormat="1">
      <c r="AP614" s="13"/>
      <c r="AU614" s="13"/>
      <c r="BC614" s="13"/>
      <c r="BI614" s="6"/>
      <c r="BJ614" s="6"/>
      <c r="BK614" s="33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7"/>
    </row>
    <row r="615" spans="42:101" s="4" customFormat="1">
      <c r="AP615" s="13"/>
      <c r="AU615" s="13"/>
      <c r="BC615" s="13"/>
      <c r="BI615" s="6"/>
      <c r="BJ615" s="6"/>
      <c r="BK615" s="33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7"/>
    </row>
    <row r="616" spans="42:101" s="4" customFormat="1">
      <c r="AP616" s="13"/>
      <c r="AU616" s="13"/>
      <c r="BC616" s="13"/>
      <c r="BI616" s="6"/>
      <c r="BJ616" s="6"/>
      <c r="BK616" s="33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7"/>
    </row>
    <row r="617" spans="42:101" s="4" customFormat="1">
      <c r="AP617" s="13"/>
      <c r="AU617" s="13"/>
      <c r="BC617" s="13"/>
      <c r="BI617" s="6"/>
      <c r="BJ617" s="6"/>
      <c r="BK617" s="33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7"/>
    </row>
    <row r="618" spans="42:101" s="4" customFormat="1">
      <c r="AP618" s="13"/>
      <c r="AU618" s="13"/>
      <c r="BC618" s="13"/>
      <c r="BI618" s="6"/>
      <c r="BJ618" s="6"/>
      <c r="BK618" s="33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7"/>
    </row>
    <row r="619" spans="42:101" s="4" customFormat="1">
      <c r="AP619" s="13"/>
      <c r="AU619" s="13"/>
      <c r="BC619" s="13"/>
      <c r="BI619" s="6"/>
      <c r="BJ619" s="6"/>
      <c r="BK619" s="33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7"/>
    </row>
    <row r="620" spans="42:101" s="4" customFormat="1">
      <c r="AP620" s="13"/>
      <c r="AU620" s="13"/>
      <c r="BC620" s="13"/>
      <c r="BI620" s="6"/>
      <c r="BJ620" s="6"/>
      <c r="BK620" s="33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7"/>
    </row>
    <row r="621" spans="42:101" s="4" customFormat="1">
      <c r="AP621" s="13"/>
      <c r="AU621" s="13"/>
      <c r="BC621" s="13"/>
      <c r="BI621" s="6"/>
      <c r="BJ621" s="6"/>
      <c r="BK621" s="33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7"/>
    </row>
    <row r="622" spans="42:101" s="4" customFormat="1">
      <c r="AP622" s="13"/>
      <c r="AU622" s="13"/>
      <c r="BC622" s="13"/>
      <c r="BI622" s="6"/>
      <c r="BJ622" s="6"/>
      <c r="BK622" s="33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7"/>
    </row>
    <row r="623" spans="42:101" s="4" customFormat="1">
      <c r="AP623" s="13"/>
      <c r="AU623" s="13"/>
      <c r="BC623" s="13"/>
      <c r="BI623" s="6"/>
      <c r="BJ623" s="6"/>
      <c r="BK623" s="33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7"/>
    </row>
    <row r="624" spans="42:101" s="4" customFormat="1">
      <c r="AP624" s="13"/>
      <c r="AU624" s="13"/>
      <c r="BC624" s="13"/>
      <c r="BI624" s="6"/>
      <c r="BJ624" s="6"/>
      <c r="BK624" s="33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7"/>
    </row>
    <row r="625" spans="42:101" s="4" customFormat="1">
      <c r="AP625" s="13"/>
      <c r="AU625" s="13"/>
      <c r="BC625" s="13"/>
      <c r="BI625" s="6"/>
      <c r="BJ625" s="6"/>
      <c r="BK625" s="33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7"/>
    </row>
    <row r="626" spans="42:101" s="4" customFormat="1">
      <c r="AP626" s="13"/>
      <c r="AU626" s="13"/>
      <c r="BC626" s="13"/>
      <c r="BI626" s="6"/>
      <c r="BJ626" s="6"/>
      <c r="BK626" s="33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7"/>
    </row>
    <row r="627" spans="42:101" s="4" customFormat="1">
      <c r="AP627" s="13"/>
      <c r="AU627" s="13"/>
      <c r="BC627" s="13"/>
      <c r="BI627" s="6"/>
      <c r="BJ627" s="6"/>
      <c r="BK627" s="33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7"/>
    </row>
    <row r="628" spans="42:101" s="4" customFormat="1">
      <c r="AP628" s="13"/>
      <c r="AU628" s="13"/>
      <c r="BC628" s="13"/>
      <c r="BI628" s="6"/>
      <c r="BJ628" s="6"/>
      <c r="BK628" s="33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7"/>
    </row>
    <row r="629" spans="42:101" s="4" customFormat="1">
      <c r="AP629" s="13"/>
      <c r="AU629" s="13"/>
      <c r="BC629" s="13"/>
      <c r="BI629" s="6"/>
      <c r="BJ629" s="6"/>
      <c r="BK629" s="33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7"/>
    </row>
    <row r="630" spans="42:101" s="4" customFormat="1">
      <c r="AP630" s="13"/>
      <c r="AU630" s="13"/>
      <c r="BC630" s="13"/>
      <c r="BI630" s="6"/>
      <c r="BJ630" s="6"/>
      <c r="BK630" s="33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7"/>
    </row>
    <row r="631" spans="42:101" s="4" customFormat="1">
      <c r="AP631" s="13"/>
      <c r="AU631" s="13"/>
      <c r="BC631" s="13"/>
      <c r="BI631" s="6"/>
      <c r="BJ631" s="6"/>
      <c r="BK631" s="33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7"/>
    </row>
    <row r="632" spans="42:101" s="4" customFormat="1">
      <c r="AP632" s="13"/>
      <c r="AU632" s="13"/>
      <c r="BC632" s="13"/>
      <c r="BI632" s="6"/>
      <c r="BJ632" s="6"/>
      <c r="BK632" s="33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7"/>
    </row>
    <row r="633" spans="42:101" s="4" customFormat="1">
      <c r="AP633" s="13"/>
      <c r="AU633" s="13"/>
      <c r="BC633" s="13"/>
      <c r="BI633" s="6"/>
      <c r="BJ633" s="6"/>
      <c r="BK633" s="33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7"/>
    </row>
    <row r="634" spans="42:101" s="4" customFormat="1">
      <c r="AP634" s="13"/>
      <c r="AU634" s="13"/>
      <c r="BC634" s="13"/>
      <c r="BI634" s="6"/>
      <c r="BJ634" s="6"/>
      <c r="BK634" s="33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7"/>
    </row>
    <row r="635" spans="42:101" s="4" customFormat="1">
      <c r="AP635" s="13"/>
      <c r="AU635" s="13"/>
      <c r="BC635" s="13"/>
      <c r="BI635" s="6"/>
      <c r="BJ635" s="6"/>
      <c r="BK635" s="33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7"/>
    </row>
    <row r="636" spans="42:101" s="4" customFormat="1">
      <c r="AP636" s="13"/>
      <c r="AU636" s="13"/>
      <c r="BC636" s="13"/>
      <c r="BI636" s="6"/>
      <c r="BJ636" s="6"/>
      <c r="BK636" s="33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7"/>
    </row>
    <row r="637" spans="42:101" s="4" customFormat="1">
      <c r="AP637" s="13"/>
      <c r="AU637" s="13"/>
      <c r="BC637" s="13"/>
      <c r="BI637" s="6"/>
      <c r="BJ637" s="6"/>
      <c r="BK637" s="33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7"/>
    </row>
    <row r="638" spans="42:101" s="4" customFormat="1">
      <c r="AP638" s="13"/>
      <c r="AU638" s="13"/>
      <c r="BC638" s="13"/>
      <c r="BI638" s="6"/>
      <c r="BJ638" s="6"/>
      <c r="BK638" s="33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7"/>
    </row>
    <row r="639" spans="42:101" s="4" customFormat="1">
      <c r="AP639" s="13"/>
      <c r="AU639" s="13"/>
      <c r="BC639" s="13"/>
      <c r="BI639" s="6"/>
      <c r="BJ639" s="6"/>
      <c r="BK639" s="33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7"/>
    </row>
    <row r="640" spans="42:101" s="4" customFormat="1">
      <c r="AP640" s="13"/>
      <c r="AU640" s="13"/>
      <c r="BC640" s="13"/>
      <c r="BI640" s="6"/>
      <c r="BJ640" s="6"/>
      <c r="BK640" s="33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7"/>
    </row>
    <row r="641" spans="42:101" s="4" customFormat="1">
      <c r="AP641" s="13"/>
      <c r="AU641" s="13"/>
      <c r="BC641" s="13"/>
      <c r="BI641" s="6"/>
      <c r="BJ641" s="6"/>
      <c r="BK641" s="33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7"/>
    </row>
    <row r="642" spans="42:101" s="4" customFormat="1">
      <c r="AP642" s="13"/>
      <c r="AU642" s="13"/>
      <c r="BC642" s="13"/>
      <c r="BI642" s="6"/>
      <c r="BJ642" s="6"/>
      <c r="BK642" s="33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7"/>
    </row>
    <row r="643" spans="42:101" s="4" customFormat="1">
      <c r="AP643" s="13"/>
      <c r="AU643" s="13"/>
      <c r="BC643" s="13"/>
      <c r="BI643" s="6"/>
      <c r="BJ643" s="6"/>
      <c r="BK643" s="33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7"/>
    </row>
    <row r="644" spans="42:101" s="4" customFormat="1">
      <c r="AP644" s="13"/>
      <c r="AU644" s="13"/>
      <c r="BC644" s="13"/>
      <c r="BI644" s="6"/>
      <c r="BJ644" s="6"/>
      <c r="BK644" s="33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7"/>
    </row>
    <row r="645" spans="42:101" s="4" customFormat="1">
      <c r="AP645" s="13"/>
      <c r="AU645" s="13"/>
      <c r="BC645" s="13"/>
      <c r="BI645" s="6"/>
      <c r="BJ645" s="6"/>
      <c r="BK645" s="33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7"/>
    </row>
    <row r="646" spans="42:101" s="4" customFormat="1">
      <c r="AP646" s="13"/>
      <c r="AU646" s="13"/>
      <c r="BC646" s="13"/>
      <c r="BI646" s="6"/>
      <c r="BJ646" s="6"/>
      <c r="BK646" s="33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7"/>
    </row>
    <row r="647" spans="42:101" s="4" customFormat="1">
      <c r="AP647" s="13"/>
      <c r="AU647" s="13"/>
      <c r="BC647" s="13"/>
      <c r="BI647" s="6"/>
      <c r="BJ647" s="6"/>
      <c r="BK647" s="33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7"/>
    </row>
    <row r="648" spans="42:101" s="4" customFormat="1">
      <c r="AP648" s="13"/>
      <c r="AU648" s="13"/>
      <c r="BC648" s="13"/>
      <c r="BI648" s="6"/>
      <c r="BJ648" s="6"/>
      <c r="BK648" s="33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7"/>
    </row>
    <row r="649" spans="42:101" s="4" customFormat="1">
      <c r="AP649" s="13"/>
      <c r="AU649" s="13"/>
      <c r="BC649" s="13"/>
      <c r="BI649" s="6"/>
      <c r="BJ649" s="6"/>
      <c r="BK649" s="33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7"/>
    </row>
    <row r="650" spans="42:101" s="4" customFormat="1">
      <c r="AP650" s="13"/>
      <c r="AU650" s="13"/>
      <c r="BC650" s="13"/>
      <c r="BI650" s="6"/>
      <c r="BJ650" s="6"/>
      <c r="BK650" s="33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7"/>
    </row>
    <row r="651" spans="42:101" s="4" customFormat="1">
      <c r="AP651" s="13"/>
      <c r="AU651" s="13"/>
      <c r="BC651" s="13"/>
      <c r="BI651" s="6"/>
      <c r="BJ651" s="6"/>
      <c r="BK651" s="33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7"/>
    </row>
    <row r="652" spans="42:101" s="4" customFormat="1">
      <c r="AP652" s="13"/>
      <c r="AU652" s="13"/>
      <c r="BC652" s="13"/>
      <c r="BI652" s="6"/>
      <c r="BJ652" s="6"/>
      <c r="BK652" s="33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7"/>
    </row>
    <row r="653" spans="42:101" s="4" customFormat="1">
      <c r="AP653" s="13"/>
      <c r="AU653" s="13"/>
      <c r="BC653" s="13"/>
      <c r="BI653" s="6"/>
      <c r="BJ653" s="6"/>
      <c r="BK653" s="33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7"/>
    </row>
    <row r="654" spans="42:101" s="4" customFormat="1">
      <c r="AP654" s="13"/>
      <c r="AU654" s="13"/>
      <c r="BC654" s="13"/>
      <c r="BI654" s="6"/>
      <c r="BJ654" s="6"/>
      <c r="BK654" s="33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7"/>
    </row>
    <row r="655" spans="42:101" s="4" customFormat="1">
      <c r="AP655" s="13"/>
      <c r="AU655" s="13"/>
      <c r="BC655" s="13"/>
      <c r="BI655" s="6"/>
      <c r="BJ655" s="6"/>
      <c r="BK655" s="33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7"/>
    </row>
    <row r="656" spans="42:101" s="4" customFormat="1">
      <c r="AP656" s="13"/>
      <c r="AU656" s="13"/>
      <c r="BC656" s="13"/>
      <c r="BI656" s="6"/>
      <c r="BJ656" s="6"/>
      <c r="BK656" s="33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7"/>
    </row>
    <row r="657" spans="42:101" s="4" customFormat="1">
      <c r="AP657" s="13"/>
      <c r="AU657" s="13"/>
      <c r="BC657" s="13"/>
      <c r="BI657" s="6"/>
      <c r="BJ657" s="6"/>
      <c r="BK657" s="33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7"/>
    </row>
    <row r="658" spans="42:101" s="4" customFormat="1">
      <c r="AP658" s="13"/>
      <c r="AU658" s="13"/>
      <c r="BC658" s="13"/>
      <c r="BI658" s="6"/>
      <c r="BJ658" s="6"/>
      <c r="BK658" s="33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7"/>
    </row>
    <row r="659" spans="42:101" s="4" customFormat="1">
      <c r="AP659" s="13"/>
      <c r="AU659" s="13"/>
      <c r="BC659" s="13"/>
      <c r="BI659" s="6"/>
      <c r="BJ659" s="6"/>
      <c r="BK659" s="33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7"/>
    </row>
    <row r="660" spans="42:101" s="4" customFormat="1">
      <c r="AP660" s="13"/>
      <c r="AU660" s="13"/>
      <c r="BC660" s="13"/>
      <c r="BI660" s="6"/>
      <c r="BJ660" s="6"/>
      <c r="BK660" s="33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7"/>
    </row>
    <row r="661" spans="42:101" s="4" customFormat="1">
      <c r="AP661" s="13"/>
      <c r="AU661" s="13"/>
      <c r="BC661" s="13"/>
      <c r="BI661" s="6"/>
      <c r="BJ661" s="6"/>
      <c r="BK661" s="33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7"/>
    </row>
    <row r="662" spans="42:101" s="4" customFormat="1">
      <c r="AP662" s="13"/>
      <c r="AU662" s="13"/>
      <c r="BC662" s="13"/>
      <c r="BI662" s="6"/>
      <c r="BJ662" s="6"/>
      <c r="BK662" s="33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7"/>
    </row>
    <row r="663" spans="42:101" s="4" customFormat="1">
      <c r="AP663" s="13"/>
      <c r="AU663" s="13"/>
      <c r="BC663" s="13"/>
      <c r="BI663" s="6"/>
      <c r="BJ663" s="6"/>
      <c r="BK663" s="33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7"/>
    </row>
    <row r="664" spans="42:101" s="4" customFormat="1">
      <c r="AP664" s="13"/>
      <c r="AU664" s="13"/>
      <c r="BC664" s="13"/>
      <c r="BI664" s="6"/>
      <c r="BJ664" s="6"/>
      <c r="BK664" s="33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7"/>
    </row>
    <row r="665" spans="42:101" s="4" customFormat="1">
      <c r="AP665" s="13"/>
      <c r="AU665" s="13"/>
      <c r="BC665" s="13"/>
      <c r="BI665" s="6"/>
      <c r="BJ665" s="6"/>
      <c r="BK665" s="33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7"/>
    </row>
    <row r="666" spans="42:101" s="4" customFormat="1">
      <c r="AP666" s="13"/>
      <c r="AU666" s="13"/>
      <c r="BC666" s="13"/>
      <c r="BI666" s="6"/>
      <c r="BJ666" s="6"/>
      <c r="BK666" s="33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7"/>
    </row>
    <row r="667" spans="42:101" s="4" customFormat="1">
      <c r="AP667" s="13"/>
      <c r="AU667" s="13"/>
      <c r="BC667" s="13"/>
      <c r="BI667" s="6"/>
      <c r="BJ667" s="6"/>
      <c r="BK667" s="33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7"/>
    </row>
    <row r="668" spans="42:101" s="4" customFormat="1">
      <c r="AP668" s="13"/>
      <c r="AU668" s="13"/>
      <c r="BC668" s="13"/>
      <c r="BI668" s="6"/>
      <c r="BJ668" s="6"/>
      <c r="BK668" s="33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7"/>
    </row>
    <row r="669" spans="42:101" s="4" customFormat="1">
      <c r="AP669" s="13"/>
      <c r="AU669" s="13"/>
      <c r="BC669" s="13"/>
      <c r="BI669" s="6"/>
      <c r="BJ669" s="6"/>
      <c r="BK669" s="33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7"/>
    </row>
    <row r="670" spans="42:101" s="4" customFormat="1">
      <c r="AP670" s="13"/>
      <c r="AU670" s="13"/>
      <c r="BC670" s="13"/>
      <c r="BI670" s="6"/>
      <c r="BJ670" s="6"/>
      <c r="BK670" s="33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7"/>
    </row>
    <row r="671" spans="42:101" s="4" customFormat="1">
      <c r="AP671" s="13"/>
      <c r="AU671" s="13"/>
      <c r="BC671" s="13"/>
      <c r="BI671" s="6"/>
      <c r="BJ671" s="6"/>
      <c r="BK671" s="33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7"/>
    </row>
    <row r="672" spans="42:101" s="4" customFormat="1">
      <c r="AP672" s="13"/>
      <c r="AU672" s="13"/>
      <c r="BC672" s="13"/>
      <c r="BI672" s="6"/>
      <c r="BJ672" s="6"/>
      <c r="BK672" s="33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7"/>
    </row>
    <row r="673" spans="42:101" s="4" customFormat="1">
      <c r="AP673" s="13"/>
      <c r="AU673" s="13"/>
      <c r="BC673" s="13"/>
      <c r="BI673" s="6"/>
      <c r="BJ673" s="6"/>
      <c r="BK673" s="33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7"/>
    </row>
    <row r="674" spans="42:101" s="4" customFormat="1">
      <c r="AP674" s="13"/>
      <c r="AU674" s="13"/>
      <c r="BC674" s="13"/>
      <c r="BI674" s="6"/>
      <c r="BJ674" s="6"/>
      <c r="BK674" s="33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7"/>
    </row>
    <row r="675" spans="42:101" s="4" customFormat="1">
      <c r="AP675" s="13"/>
      <c r="AU675" s="13"/>
      <c r="BC675" s="13"/>
      <c r="BI675" s="6"/>
      <c r="BJ675" s="6"/>
      <c r="BK675" s="33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7"/>
    </row>
    <row r="676" spans="42:101" s="4" customFormat="1">
      <c r="AP676" s="13"/>
      <c r="AU676" s="13"/>
      <c r="BC676" s="13"/>
      <c r="BI676" s="6"/>
      <c r="BJ676" s="6"/>
      <c r="BK676" s="33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7"/>
    </row>
    <row r="677" spans="42:101" s="4" customFormat="1">
      <c r="AP677" s="13"/>
      <c r="AU677" s="13"/>
      <c r="BC677" s="13"/>
      <c r="BI677" s="6"/>
      <c r="BJ677" s="6"/>
      <c r="BK677" s="33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7"/>
    </row>
    <row r="678" spans="42:101" s="4" customFormat="1">
      <c r="AP678" s="13"/>
      <c r="AU678" s="13"/>
      <c r="BC678" s="13"/>
      <c r="BI678" s="6"/>
      <c r="BJ678" s="6"/>
      <c r="BK678" s="33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7"/>
    </row>
    <row r="679" spans="42:101" s="4" customFormat="1">
      <c r="AP679" s="13"/>
      <c r="AU679" s="13"/>
      <c r="BC679" s="13"/>
      <c r="BI679" s="6"/>
      <c r="BJ679" s="6"/>
      <c r="BK679" s="33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7"/>
    </row>
    <row r="680" spans="42:101" s="4" customFormat="1">
      <c r="AP680" s="13"/>
      <c r="AU680" s="13"/>
      <c r="BC680" s="13"/>
      <c r="BI680" s="6"/>
      <c r="BJ680" s="6"/>
      <c r="BK680" s="33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7"/>
    </row>
    <row r="681" spans="42:101" s="4" customFormat="1">
      <c r="AP681" s="13"/>
      <c r="AU681" s="13"/>
      <c r="BC681" s="13"/>
      <c r="BI681" s="6"/>
      <c r="BJ681" s="6"/>
      <c r="BK681" s="33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7"/>
    </row>
    <row r="682" spans="42:101" s="4" customFormat="1">
      <c r="AP682" s="13"/>
      <c r="AU682" s="13"/>
      <c r="BC682" s="13"/>
      <c r="BI682" s="6"/>
      <c r="BJ682" s="6"/>
      <c r="BK682" s="33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7"/>
    </row>
    <row r="683" spans="42:101" s="4" customFormat="1">
      <c r="AP683" s="13"/>
      <c r="AU683" s="13"/>
      <c r="BC683" s="13"/>
      <c r="BI683" s="6"/>
      <c r="BJ683" s="6"/>
      <c r="BK683" s="33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7"/>
    </row>
    <row r="684" spans="42:101" s="4" customFormat="1">
      <c r="AP684" s="13"/>
      <c r="AU684" s="13"/>
      <c r="BC684" s="13"/>
      <c r="BI684" s="6"/>
      <c r="BJ684" s="6"/>
      <c r="BK684" s="33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7"/>
    </row>
    <row r="685" spans="42:101" s="4" customFormat="1">
      <c r="AP685" s="13"/>
      <c r="AU685" s="13"/>
      <c r="BC685" s="13"/>
      <c r="BI685" s="6"/>
      <c r="BJ685" s="6"/>
      <c r="BK685" s="33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7"/>
    </row>
    <row r="686" spans="42:101" s="4" customFormat="1">
      <c r="AP686" s="13"/>
      <c r="AU686" s="13"/>
      <c r="BC686" s="13"/>
      <c r="BI686" s="6"/>
      <c r="BJ686" s="6"/>
      <c r="BK686" s="33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7"/>
    </row>
    <row r="687" spans="42:101" s="4" customFormat="1">
      <c r="AP687" s="13"/>
      <c r="AU687" s="13"/>
      <c r="BC687" s="13"/>
      <c r="BI687" s="6"/>
      <c r="BJ687" s="6"/>
      <c r="BK687" s="33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7"/>
    </row>
    <row r="688" spans="42:101" s="4" customFormat="1">
      <c r="AP688" s="13"/>
      <c r="AU688" s="13"/>
      <c r="BC688" s="13"/>
      <c r="BI688" s="6"/>
      <c r="BJ688" s="6"/>
      <c r="BK688" s="33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7"/>
    </row>
    <row r="689" spans="42:101" s="4" customFormat="1">
      <c r="AP689" s="13"/>
      <c r="AU689" s="13"/>
      <c r="BC689" s="13"/>
      <c r="BI689" s="6"/>
      <c r="BJ689" s="6"/>
      <c r="BK689" s="33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7"/>
    </row>
    <row r="690" spans="42:101" s="4" customFormat="1">
      <c r="AP690" s="13"/>
      <c r="AU690" s="13"/>
      <c r="BC690" s="13"/>
      <c r="BI690" s="6"/>
      <c r="BJ690" s="6"/>
      <c r="BK690" s="33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7"/>
    </row>
    <row r="691" spans="42:101" s="4" customFormat="1">
      <c r="AP691" s="13"/>
      <c r="AU691" s="13"/>
      <c r="BC691" s="13"/>
      <c r="BI691" s="6"/>
      <c r="BJ691" s="6"/>
      <c r="BK691" s="33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7"/>
    </row>
    <row r="692" spans="42:101" s="4" customFormat="1">
      <c r="AP692" s="13"/>
      <c r="AU692" s="13"/>
      <c r="BC692" s="13"/>
      <c r="BI692" s="6"/>
      <c r="BJ692" s="6"/>
      <c r="BK692" s="33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7"/>
    </row>
    <row r="693" spans="42:101" s="4" customFormat="1">
      <c r="AP693" s="13"/>
      <c r="AU693" s="13"/>
      <c r="BC693" s="13"/>
      <c r="BI693" s="6"/>
      <c r="BJ693" s="6"/>
      <c r="BK693" s="33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7"/>
    </row>
    <row r="694" spans="42:101" s="4" customFormat="1">
      <c r="AP694" s="13"/>
      <c r="AU694" s="13"/>
      <c r="BC694" s="13"/>
      <c r="BI694" s="6"/>
      <c r="BJ694" s="6"/>
      <c r="BK694" s="33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7"/>
    </row>
    <row r="695" spans="42:101" s="4" customFormat="1">
      <c r="AP695" s="13"/>
      <c r="AU695" s="13"/>
      <c r="BC695" s="13"/>
      <c r="BI695" s="6"/>
      <c r="BJ695" s="6"/>
      <c r="BK695" s="33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7"/>
    </row>
    <row r="696" spans="42:101" s="4" customFormat="1">
      <c r="AP696" s="13"/>
      <c r="AU696" s="13"/>
      <c r="BC696" s="13"/>
      <c r="BI696" s="6"/>
      <c r="BJ696" s="6"/>
      <c r="BK696" s="33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7"/>
    </row>
    <row r="697" spans="42:101" s="4" customFormat="1">
      <c r="AP697" s="13"/>
      <c r="AU697" s="13"/>
      <c r="BC697" s="13"/>
      <c r="BI697" s="6"/>
      <c r="BJ697" s="6"/>
      <c r="BK697" s="33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7"/>
    </row>
    <row r="698" spans="42:101" s="4" customFormat="1">
      <c r="AP698" s="13"/>
      <c r="AU698" s="13"/>
      <c r="BC698" s="13"/>
      <c r="BI698" s="6"/>
      <c r="BJ698" s="6"/>
      <c r="BK698" s="33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7"/>
    </row>
    <row r="699" spans="42:101" s="4" customFormat="1">
      <c r="AP699" s="13"/>
      <c r="AU699" s="13"/>
      <c r="BC699" s="13"/>
      <c r="BI699" s="6"/>
      <c r="BJ699" s="6"/>
      <c r="BK699" s="33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7"/>
    </row>
    <row r="700" spans="42:101" s="4" customFormat="1">
      <c r="AP700" s="13"/>
      <c r="AU700" s="13"/>
      <c r="BC700" s="13"/>
      <c r="BI700" s="6"/>
      <c r="BJ700" s="6"/>
      <c r="BK700" s="33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7"/>
    </row>
    <row r="701" spans="42:101" s="4" customFormat="1">
      <c r="AP701" s="13"/>
      <c r="AU701" s="13"/>
      <c r="BC701" s="13"/>
      <c r="BI701" s="6"/>
      <c r="BJ701" s="6"/>
      <c r="BK701" s="33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7"/>
    </row>
    <row r="702" spans="42:101" s="4" customFormat="1">
      <c r="AP702" s="13"/>
      <c r="AU702" s="13"/>
      <c r="BC702" s="13"/>
      <c r="BI702" s="6"/>
      <c r="BJ702" s="6"/>
      <c r="BK702" s="33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7"/>
    </row>
    <row r="703" spans="42:101" s="4" customFormat="1">
      <c r="AP703" s="13"/>
      <c r="AU703" s="13"/>
      <c r="BC703" s="13"/>
      <c r="BI703" s="6"/>
      <c r="BJ703" s="6"/>
      <c r="BK703" s="33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7"/>
    </row>
    <row r="704" spans="42:101" s="4" customFormat="1">
      <c r="AP704" s="13"/>
      <c r="AU704" s="13"/>
      <c r="BC704" s="13"/>
      <c r="BI704" s="6"/>
      <c r="BJ704" s="6"/>
      <c r="BK704" s="33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7"/>
    </row>
    <row r="705" spans="42:101" s="4" customFormat="1">
      <c r="AP705" s="13"/>
      <c r="AU705" s="13"/>
      <c r="BC705" s="13"/>
      <c r="BI705" s="6"/>
      <c r="BJ705" s="6"/>
      <c r="BK705" s="33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7"/>
    </row>
    <row r="706" spans="42:101" s="4" customFormat="1">
      <c r="AP706" s="13"/>
      <c r="AU706" s="13"/>
      <c r="BC706" s="13"/>
      <c r="BI706" s="6"/>
      <c r="BJ706" s="6"/>
      <c r="BK706" s="33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7"/>
    </row>
    <row r="707" spans="42:101" s="4" customFormat="1">
      <c r="AP707" s="13"/>
      <c r="AU707" s="13"/>
      <c r="BC707" s="13"/>
      <c r="BI707" s="6"/>
      <c r="BJ707" s="6"/>
      <c r="BK707" s="33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7"/>
    </row>
    <row r="708" spans="42:101" s="4" customFormat="1">
      <c r="AP708" s="13"/>
      <c r="AU708" s="13"/>
      <c r="BC708" s="13"/>
      <c r="BI708" s="6"/>
      <c r="BJ708" s="6"/>
      <c r="BK708" s="33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7"/>
    </row>
    <row r="709" spans="42:101" s="4" customFormat="1">
      <c r="AP709" s="13"/>
      <c r="AU709" s="13"/>
      <c r="BC709" s="13"/>
      <c r="BI709" s="6"/>
      <c r="BJ709" s="6"/>
      <c r="BK709" s="33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7"/>
    </row>
    <row r="710" spans="42:101" s="4" customFormat="1">
      <c r="AP710" s="13"/>
      <c r="AU710" s="13"/>
      <c r="BC710" s="13"/>
      <c r="BI710" s="6"/>
      <c r="BJ710" s="6"/>
      <c r="BK710" s="33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7"/>
    </row>
    <row r="711" spans="42:101" s="4" customFormat="1">
      <c r="AP711" s="13"/>
      <c r="AU711" s="13"/>
      <c r="BC711" s="13"/>
      <c r="BI711" s="6"/>
      <c r="BJ711" s="6"/>
      <c r="BK711" s="33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7"/>
    </row>
    <row r="712" spans="42:101" s="4" customFormat="1">
      <c r="AP712" s="13"/>
      <c r="AU712" s="13"/>
      <c r="BC712" s="13"/>
      <c r="BI712" s="6"/>
      <c r="BJ712" s="6"/>
      <c r="BK712" s="33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7"/>
    </row>
    <row r="713" spans="42:101" s="4" customFormat="1">
      <c r="AP713" s="13"/>
      <c r="AU713" s="13"/>
      <c r="BC713" s="13"/>
      <c r="BI713" s="6"/>
      <c r="BJ713" s="6"/>
      <c r="BK713" s="33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7"/>
    </row>
    <row r="714" spans="42:101" s="4" customFormat="1">
      <c r="AP714" s="13"/>
      <c r="AU714" s="13"/>
      <c r="BC714" s="13"/>
      <c r="BI714" s="6"/>
      <c r="BJ714" s="6"/>
      <c r="BK714" s="33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7"/>
    </row>
    <row r="715" spans="42:101" s="4" customFormat="1">
      <c r="AP715" s="13"/>
      <c r="AU715" s="13"/>
      <c r="BC715" s="13"/>
      <c r="BI715" s="6"/>
      <c r="BJ715" s="6"/>
      <c r="BK715" s="33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7"/>
    </row>
    <row r="716" spans="42:101" s="4" customFormat="1">
      <c r="AP716" s="13"/>
      <c r="AU716" s="13"/>
      <c r="BC716" s="13"/>
      <c r="BI716" s="6"/>
      <c r="BJ716" s="6"/>
      <c r="BK716" s="33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7"/>
    </row>
    <row r="717" spans="42:101" s="4" customFormat="1">
      <c r="AP717" s="13"/>
      <c r="AU717" s="13"/>
      <c r="BC717" s="13"/>
      <c r="BI717" s="6"/>
      <c r="BJ717" s="6"/>
      <c r="BK717" s="33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7"/>
    </row>
    <row r="718" spans="42:101" s="4" customFormat="1">
      <c r="AP718" s="13"/>
      <c r="AU718" s="13"/>
      <c r="BC718" s="13"/>
      <c r="BI718" s="6"/>
      <c r="BJ718" s="6"/>
      <c r="BK718" s="33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7"/>
    </row>
    <row r="719" spans="42:101" s="4" customFormat="1">
      <c r="AP719" s="13"/>
      <c r="AU719" s="13"/>
      <c r="BC719" s="13"/>
      <c r="BI719" s="6"/>
      <c r="BJ719" s="6"/>
      <c r="BK719" s="33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7"/>
    </row>
    <row r="720" spans="42:101" s="4" customFormat="1">
      <c r="AP720" s="13"/>
      <c r="AU720" s="13"/>
      <c r="BC720" s="13"/>
      <c r="BI720" s="6"/>
      <c r="BJ720" s="6"/>
      <c r="BK720" s="33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7"/>
    </row>
    <row r="721" spans="42:101" s="4" customFormat="1">
      <c r="AP721" s="13"/>
      <c r="AU721" s="13"/>
      <c r="BC721" s="13"/>
      <c r="BI721" s="6"/>
      <c r="BJ721" s="6"/>
      <c r="BK721" s="33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7"/>
    </row>
    <row r="722" spans="42:101" s="4" customFormat="1">
      <c r="AP722" s="13"/>
      <c r="AU722" s="13"/>
      <c r="BC722" s="13"/>
      <c r="BI722" s="6"/>
      <c r="BJ722" s="6"/>
      <c r="BK722" s="33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7"/>
    </row>
    <row r="723" spans="42:101" s="4" customFormat="1">
      <c r="AP723" s="13"/>
      <c r="AU723" s="13"/>
      <c r="BC723" s="13"/>
      <c r="BI723" s="6"/>
      <c r="BJ723" s="6"/>
      <c r="BK723" s="33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7"/>
    </row>
    <row r="724" spans="42:101" s="4" customFormat="1">
      <c r="AP724" s="13"/>
      <c r="AU724" s="13"/>
      <c r="BC724" s="13"/>
      <c r="BI724" s="6"/>
      <c r="BJ724" s="6"/>
      <c r="BK724" s="33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7"/>
    </row>
    <row r="725" spans="42:101" s="4" customFormat="1">
      <c r="AP725" s="13"/>
      <c r="AU725" s="13"/>
      <c r="BC725" s="13"/>
      <c r="BI725" s="6"/>
      <c r="BJ725" s="6"/>
      <c r="BK725" s="33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7"/>
    </row>
    <row r="726" spans="42:101" s="4" customFormat="1">
      <c r="AP726" s="13"/>
      <c r="AU726" s="13"/>
      <c r="BC726" s="13"/>
      <c r="BI726" s="6"/>
      <c r="BJ726" s="6"/>
      <c r="BK726" s="33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7"/>
    </row>
    <row r="727" spans="42:101" s="4" customFormat="1">
      <c r="AP727" s="13"/>
      <c r="AU727" s="13"/>
      <c r="BC727" s="13"/>
      <c r="BI727" s="6"/>
      <c r="BJ727" s="6"/>
      <c r="BK727" s="33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7"/>
    </row>
    <row r="728" spans="42:101" s="4" customFormat="1">
      <c r="AP728" s="13"/>
      <c r="AU728" s="13"/>
      <c r="BC728" s="13"/>
      <c r="BI728" s="6"/>
      <c r="BJ728" s="6"/>
      <c r="BK728" s="33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7"/>
    </row>
    <row r="729" spans="42:101" s="4" customFormat="1">
      <c r="AP729" s="13"/>
      <c r="AU729" s="13"/>
      <c r="BC729" s="13"/>
      <c r="BI729" s="6"/>
      <c r="BJ729" s="6"/>
      <c r="BK729" s="33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7"/>
    </row>
    <row r="730" spans="42:101" s="4" customFormat="1">
      <c r="AP730" s="13"/>
      <c r="AU730" s="13"/>
      <c r="BC730" s="13"/>
      <c r="BI730" s="6"/>
      <c r="BJ730" s="6"/>
      <c r="BK730" s="33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7"/>
    </row>
    <row r="731" spans="42:101" s="4" customFormat="1">
      <c r="AP731" s="13"/>
      <c r="AU731" s="13"/>
      <c r="BC731" s="13"/>
      <c r="BI731" s="6"/>
      <c r="BJ731" s="6"/>
      <c r="BK731" s="33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7"/>
    </row>
    <row r="732" spans="42:101" s="4" customFormat="1">
      <c r="AP732" s="13"/>
      <c r="AU732" s="13"/>
      <c r="BC732" s="13"/>
      <c r="BI732" s="6"/>
      <c r="BJ732" s="6"/>
      <c r="BK732" s="33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7"/>
    </row>
    <row r="733" spans="42:101" s="4" customFormat="1">
      <c r="AP733" s="13"/>
      <c r="AU733" s="13"/>
      <c r="BC733" s="13"/>
      <c r="BI733" s="6"/>
      <c r="BJ733" s="6"/>
      <c r="BK733" s="33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7"/>
    </row>
    <row r="734" spans="42:101" s="4" customFormat="1">
      <c r="AP734" s="13"/>
      <c r="AU734" s="13"/>
      <c r="BC734" s="13"/>
      <c r="BI734" s="6"/>
      <c r="BJ734" s="6"/>
      <c r="BK734" s="33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7"/>
    </row>
    <row r="735" spans="42:101" s="4" customFormat="1">
      <c r="AP735" s="13"/>
      <c r="AU735" s="13"/>
      <c r="BC735" s="13"/>
      <c r="BI735" s="6"/>
      <c r="BJ735" s="6"/>
      <c r="BK735" s="33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7"/>
    </row>
    <row r="736" spans="42:101" s="4" customFormat="1">
      <c r="AP736" s="13"/>
      <c r="AU736" s="13"/>
      <c r="BC736" s="13"/>
      <c r="BI736" s="6"/>
      <c r="BJ736" s="6"/>
      <c r="BK736" s="33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7"/>
    </row>
    <row r="737" spans="42:101" s="4" customFormat="1">
      <c r="AP737" s="13"/>
      <c r="AU737" s="13"/>
      <c r="BC737" s="13"/>
      <c r="BI737" s="6"/>
      <c r="BJ737" s="6"/>
      <c r="BK737" s="33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7"/>
    </row>
    <row r="738" spans="42:101" s="4" customFormat="1">
      <c r="AP738" s="13"/>
      <c r="AU738" s="13"/>
      <c r="BC738" s="13"/>
      <c r="BI738" s="6"/>
      <c r="BJ738" s="6"/>
      <c r="BK738" s="33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7"/>
    </row>
    <row r="739" spans="42:101" s="4" customFormat="1">
      <c r="AP739" s="13"/>
      <c r="AU739" s="13"/>
      <c r="BC739" s="13"/>
      <c r="BI739" s="6"/>
      <c r="BJ739" s="6"/>
      <c r="BK739" s="33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7"/>
    </row>
    <row r="740" spans="42:101" s="4" customFormat="1">
      <c r="AP740" s="13"/>
      <c r="AU740" s="13"/>
      <c r="BC740" s="13"/>
      <c r="BI740" s="6"/>
      <c r="BJ740" s="6"/>
      <c r="BK740" s="33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7"/>
    </row>
    <row r="741" spans="42:101" s="4" customFormat="1">
      <c r="AP741" s="13"/>
      <c r="AU741" s="13"/>
      <c r="BC741" s="13"/>
      <c r="BI741" s="6"/>
      <c r="BJ741" s="6"/>
      <c r="BK741" s="33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7"/>
    </row>
    <row r="742" spans="42:101" s="4" customFormat="1">
      <c r="AP742" s="13"/>
      <c r="AU742" s="13"/>
      <c r="BC742" s="13"/>
      <c r="BI742" s="6"/>
      <c r="BJ742" s="6"/>
      <c r="BK742" s="33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7"/>
    </row>
    <row r="743" spans="42:101" s="4" customFormat="1">
      <c r="AP743" s="13"/>
      <c r="AU743" s="13"/>
      <c r="BC743" s="13"/>
      <c r="BI743" s="6"/>
      <c r="BJ743" s="6"/>
      <c r="BK743" s="33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7"/>
    </row>
    <row r="744" spans="42:101" s="4" customFormat="1">
      <c r="AP744" s="13"/>
      <c r="AU744" s="13"/>
      <c r="BC744" s="13"/>
      <c r="BI744" s="6"/>
      <c r="BJ744" s="6"/>
      <c r="BK744" s="33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7"/>
    </row>
    <row r="745" spans="42:101" s="4" customFormat="1">
      <c r="AP745" s="13"/>
      <c r="AU745" s="13"/>
      <c r="BC745" s="13"/>
      <c r="BI745" s="6"/>
      <c r="BJ745" s="6"/>
      <c r="BK745" s="33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7"/>
    </row>
    <row r="746" spans="42:101" s="4" customFormat="1">
      <c r="AP746" s="13"/>
      <c r="AU746" s="13"/>
      <c r="BC746" s="13"/>
      <c r="BI746" s="6"/>
      <c r="BJ746" s="6"/>
      <c r="BK746" s="33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7"/>
    </row>
    <row r="747" spans="42:101" s="4" customFormat="1">
      <c r="AP747" s="13"/>
      <c r="AU747" s="13"/>
      <c r="BC747" s="13"/>
      <c r="BI747" s="6"/>
      <c r="BJ747" s="6"/>
      <c r="BK747" s="33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7"/>
    </row>
    <row r="748" spans="42:101" s="4" customFormat="1">
      <c r="AP748" s="13"/>
      <c r="AU748" s="13"/>
      <c r="BC748" s="13"/>
      <c r="BI748" s="6"/>
      <c r="BJ748" s="6"/>
      <c r="BK748" s="33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7"/>
    </row>
    <row r="749" spans="42:101" s="4" customFormat="1">
      <c r="AP749" s="13"/>
      <c r="AU749" s="13"/>
      <c r="BC749" s="13"/>
      <c r="BI749" s="6"/>
      <c r="BJ749" s="6"/>
      <c r="BK749" s="33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7"/>
    </row>
    <row r="750" spans="42:101" s="4" customFormat="1">
      <c r="AP750" s="13"/>
      <c r="AU750" s="13"/>
      <c r="BC750" s="13"/>
      <c r="BI750" s="6"/>
      <c r="BJ750" s="6"/>
      <c r="BK750" s="33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7"/>
    </row>
    <row r="751" spans="42:101" s="4" customFormat="1">
      <c r="AP751" s="13"/>
      <c r="AU751" s="13"/>
      <c r="BC751" s="13"/>
      <c r="BI751" s="6"/>
      <c r="BJ751" s="6"/>
      <c r="BK751" s="33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7"/>
    </row>
    <row r="752" spans="42:101" s="4" customFormat="1">
      <c r="AP752" s="13"/>
      <c r="AU752" s="13"/>
      <c r="BC752" s="13"/>
      <c r="BI752" s="6"/>
      <c r="BJ752" s="6"/>
      <c r="BK752" s="33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7"/>
    </row>
    <row r="753" spans="42:101" s="4" customFormat="1">
      <c r="AP753" s="13"/>
      <c r="AU753" s="13"/>
      <c r="BC753" s="13"/>
      <c r="BI753" s="6"/>
      <c r="BJ753" s="6"/>
      <c r="BK753" s="33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7"/>
    </row>
    <row r="754" spans="42:101" s="4" customFormat="1">
      <c r="AP754" s="13"/>
      <c r="AU754" s="13"/>
      <c r="BC754" s="13"/>
      <c r="BI754" s="6"/>
      <c r="BJ754" s="6"/>
      <c r="BK754" s="33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7"/>
    </row>
    <row r="755" spans="42:101" s="4" customFormat="1">
      <c r="AP755" s="13"/>
      <c r="AU755" s="13"/>
      <c r="BC755" s="13"/>
      <c r="BI755" s="6"/>
      <c r="BJ755" s="6"/>
      <c r="BK755" s="33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7"/>
    </row>
    <row r="756" spans="42:101" s="4" customFormat="1">
      <c r="AP756" s="13"/>
      <c r="AU756" s="13"/>
      <c r="BC756" s="13"/>
      <c r="BI756" s="6"/>
      <c r="BJ756" s="6"/>
      <c r="BK756" s="33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7"/>
    </row>
    <row r="757" spans="42:101" s="4" customFormat="1">
      <c r="AP757" s="13"/>
      <c r="AU757" s="13"/>
      <c r="BC757" s="13"/>
      <c r="BI757" s="6"/>
      <c r="BJ757" s="6"/>
      <c r="BK757" s="33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7"/>
    </row>
    <row r="758" spans="42:101" s="4" customFormat="1">
      <c r="AP758" s="13"/>
      <c r="AU758" s="13"/>
      <c r="BC758" s="13"/>
      <c r="BI758" s="6"/>
      <c r="BJ758" s="6"/>
      <c r="BK758" s="33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7"/>
    </row>
    <row r="759" spans="42:101" s="4" customFormat="1">
      <c r="AP759" s="13"/>
      <c r="AU759" s="13"/>
      <c r="BC759" s="13"/>
      <c r="BI759" s="6"/>
      <c r="BJ759" s="6"/>
      <c r="BK759" s="33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7"/>
    </row>
    <row r="760" spans="42:101" s="4" customFormat="1">
      <c r="AP760" s="13"/>
      <c r="AU760" s="13"/>
      <c r="BC760" s="13"/>
      <c r="BI760" s="6"/>
      <c r="BJ760" s="6"/>
      <c r="BK760" s="33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7"/>
    </row>
    <row r="761" spans="42:101" s="4" customFormat="1">
      <c r="AP761" s="13"/>
      <c r="AU761" s="13"/>
      <c r="BC761" s="13"/>
      <c r="BI761" s="6"/>
      <c r="BJ761" s="6"/>
      <c r="BK761" s="33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7"/>
    </row>
    <row r="762" spans="42:101" s="4" customFormat="1">
      <c r="AP762" s="13"/>
      <c r="AU762" s="13"/>
      <c r="BC762" s="13"/>
      <c r="BI762" s="6"/>
      <c r="BJ762" s="6"/>
      <c r="BK762" s="33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7"/>
    </row>
    <row r="763" spans="42:101" s="4" customFormat="1">
      <c r="AP763" s="13"/>
      <c r="AU763" s="13"/>
      <c r="BC763" s="13"/>
      <c r="BI763" s="6"/>
      <c r="BJ763" s="6"/>
      <c r="BK763" s="33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7"/>
    </row>
    <row r="764" spans="42:101" s="4" customFormat="1">
      <c r="AP764" s="13"/>
      <c r="AU764" s="13"/>
      <c r="BC764" s="13"/>
      <c r="BI764" s="6"/>
      <c r="BJ764" s="6"/>
      <c r="BK764" s="33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7"/>
    </row>
    <row r="765" spans="42:101" s="4" customFormat="1">
      <c r="AP765" s="13"/>
      <c r="AU765" s="13"/>
      <c r="BC765" s="13"/>
      <c r="BI765" s="6"/>
      <c r="BJ765" s="6"/>
      <c r="BK765" s="33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7"/>
    </row>
    <row r="766" spans="42:101" s="4" customFormat="1">
      <c r="AP766" s="13"/>
      <c r="AU766" s="13"/>
      <c r="BC766" s="13"/>
      <c r="BI766" s="6"/>
      <c r="BJ766" s="6"/>
      <c r="BK766" s="33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7"/>
    </row>
    <row r="767" spans="42:101" s="4" customFormat="1">
      <c r="AP767" s="13"/>
      <c r="AU767" s="13"/>
      <c r="BC767" s="13"/>
      <c r="BI767" s="6"/>
      <c r="BJ767" s="6"/>
      <c r="BK767" s="33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7"/>
    </row>
    <row r="768" spans="42:101" s="4" customFormat="1">
      <c r="AP768" s="13"/>
      <c r="AU768" s="13"/>
      <c r="BC768" s="13"/>
      <c r="BI768" s="6"/>
      <c r="BJ768" s="6"/>
      <c r="BK768" s="33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7"/>
    </row>
    <row r="769" spans="42:101" s="4" customFormat="1">
      <c r="AP769" s="13"/>
      <c r="AU769" s="13"/>
      <c r="BC769" s="13"/>
      <c r="BI769" s="6"/>
      <c r="BJ769" s="6"/>
      <c r="BK769" s="33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7"/>
    </row>
    <row r="770" spans="42:101" s="4" customFormat="1">
      <c r="AP770" s="13"/>
      <c r="AU770" s="13"/>
      <c r="BC770" s="13"/>
      <c r="BI770" s="6"/>
      <c r="BJ770" s="6"/>
      <c r="BK770" s="33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7"/>
    </row>
    <row r="771" spans="42:101" s="4" customFormat="1">
      <c r="AP771" s="13"/>
      <c r="AU771" s="13"/>
      <c r="BC771" s="13"/>
      <c r="BI771" s="6"/>
      <c r="BJ771" s="6"/>
      <c r="BK771" s="33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7"/>
    </row>
    <row r="772" spans="42:101" s="4" customFormat="1">
      <c r="AP772" s="13"/>
      <c r="AU772" s="13"/>
      <c r="BC772" s="13"/>
      <c r="BI772" s="6"/>
      <c r="BJ772" s="6"/>
      <c r="BK772" s="33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7"/>
    </row>
    <row r="773" spans="42:101" s="4" customFormat="1">
      <c r="AP773" s="13"/>
      <c r="AU773" s="13"/>
      <c r="BC773" s="13"/>
      <c r="BI773" s="6"/>
      <c r="BJ773" s="6"/>
      <c r="BK773" s="33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7"/>
    </row>
    <row r="774" spans="42:101" s="4" customFormat="1">
      <c r="AP774" s="13"/>
      <c r="AU774" s="13"/>
      <c r="BC774" s="13"/>
      <c r="BI774" s="6"/>
      <c r="BJ774" s="6"/>
      <c r="BK774" s="33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7"/>
    </row>
    <row r="775" spans="42:101" s="4" customFormat="1">
      <c r="AP775" s="13"/>
      <c r="AU775" s="13"/>
      <c r="BC775" s="13"/>
      <c r="BI775" s="6"/>
      <c r="BJ775" s="6"/>
      <c r="BK775" s="33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7"/>
    </row>
    <row r="776" spans="42:101" s="4" customFormat="1">
      <c r="AP776" s="13"/>
      <c r="AU776" s="13"/>
      <c r="BC776" s="13"/>
      <c r="BI776" s="6"/>
      <c r="BJ776" s="6"/>
      <c r="BK776" s="33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7"/>
    </row>
    <row r="777" spans="42:101" s="4" customFormat="1">
      <c r="AP777" s="13"/>
      <c r="AU777" s="13"/>
      <c r="BC777" s="13"/>
      <c r="BI777" s="6"/>
      <c r="BJ777" s="6"/>
      <c r="BK777" s="33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7"/>
    </row>
    <row r="778" spans="42:101" s="4" customFormat="1">
      <c r="AP778" s="13"/>
      <c r="AU778" s="13"/>
      <c r="BC778" s="13"/>
      <c r="BI778" s="6"/>
      <c r="BJ778" s="6"/>
      <c r="BK778" s="33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7"/>
    </row>
    <row r="779" spans="42:101" s="4" customFormat="1">
      <c r="AP779" s="13"/>
      <c r="AU779" s="13"/>
      <c r="BC779" s="13"/>
      <c r="BI779" s="6"/>
      <c r="BJ779" s="6"/>
      <c r="BK779" s="33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7"/>
    </row>
    <row r="780" spans="42:101" s="4" customFormat="1">
      <c r="AP780" s="13"/>
      <c r="AU780" s="13"/>
      <c r="BC780" s="13"/>
      <c r="BI780" s="6"/>
      <c r="BJ780" s="6"/>
      <c r="BK780" s="33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7"/>
    </row>
    <row r="781" spans="42:101" s="4" customFormat="1">
      <c r="AP781" s="13"/>
      <c r="AU781" s="13"/>
      <c r="BC781" s="13"/>
      <c r="BI781" s="6"/>
      <c r="BJ781" s="6"/>
      <c r="BK781" s="33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7"/>
    </row>
    <row r="782" spans="42:101" s="4" customFormat="1">
      <c r="AP782" s="13"/>
      <c r="AU782" s="13"/>
      <c r="BC782" s="13"/>
      <c r="BI782" s="6"/>
      <c r="BJ782" s="6"/>
      <c r="BK782" s="33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7"/>
    </row>
    <row r="783" spans="42:101" s="4" customFormat="1">
      <c r="AP783" s="13"/>
      <c r="AU783" s="13"/>
      <c r="BC783" s="13"/>
      <c r="BI783" s="6"/>
      <c r="BJ783" s="6"/>
      <c r="BK783" s="33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7"/>
    </row>
    <row r="784" spans="42:101" s="4" customFormat="1">
      <c r="AP784" s="13"/>
      <c r="AU784" s="13"/>
      <c r="BC784" s="13"/>
      <c r="BI784" s="6"/>
      <c r="BJ784" s="6"/>
      <c r="BK784" s="33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7"/>
    </row>
    <row r="785" spans="42:101" s="4" customFormat="1">
      <c r="AP785" s="13"/>
      <c r="AU785" s="13"/>
      <c r="BC785" s="13"/>
      <c r="BI785" s="6"/>
      <c r="BJ785" s="6"/>
      <c r="BK785" s="33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7"/>
    </row>
    <row r="786" spans="42:101" s="4" customFormat="1">
      <c r="AP786" s="13"/>
      <c r="AU786" s="13"/>
      <c r="BC786" s="13"/>
      <c r="BI786" s="6"/>
      <c r="BJ786" s="6"/>
      <c r="BK786" s="33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7"/>
    </row>
    <row r="787" spans="42:101" s="4" customFormat="1">
      <c r="AP787" s="13"/>
      <c r="AU787" s="13"/>
      <c r="BC787" s="13"/>
      <c r="BI787" s="6"/>
      <c r="BJ787" s="6"/>
      <c r="BK787" s="33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7"/>
    </row>
    <row r="788" spans="42:101" s="4" customFormat="1">
      <c r="AP788" s="13"/>
      <c r="AU788" s="13"/>
      <c r="BC788" s="13"/>
      <c r="BI788" s="6"/>
      <c r="BJ788" s="6"/>
      <c r="BK788" s="33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7"/>
    </row>
    <row r="789" spans="42:101" s="4" customFormat="1">
      <c r="AP789" s="13"/>
      <c r="AU789" s="13"/>
      <c r="BC789" s="13"/>
      <c r="BI789" s="6"/>
      <c r="BJ789" s="6"/>
      <c r="BK789" s="33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7"/>
    </row>
    <row r="790" spans="42:101" s="4" customFormat="1">
      <c r="AP790" s="13"/>
      <c r="AU790" s="13"/>
      <c r="BC790" s="13"/>
      <c r="BI790" s="6"/>
      <c r="BJ790" s="6"/>
      <c r="BK790" s="33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7"/>
    </row>
    <row r="791" spans="42:101" s="4" customFormat="1">
      <c r="AP791" s="13"/>
      <c r="AU791" s="13"/>
      <c r="BC791" s="13"/>
      <c r="BI791" s="6"/>
      <c r="BJ791" s="6"/>
      <c r="BK791" s="33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7"/>
    </row>
    <row r="792" spans="42:101" s="4" customFormat="1">
      <c r="AP792" s="13"/>
      <c r="AU792" s="13"/>
      <c r="BC792" s="13"/>
      <c r="BI792" s="6"/>
      <c r="BJ792" s="6"/>
      <c r="BK792" s="33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7"/>
    </row>
    <row r="793" spans="42:101" s="4" customFormat="1">
      <c r="AP793" s="13"/>
      <c r="AU793" s="13"/>
      <c r="BC793" s="13"/>
      <c r="BI793" s="6"/>
      <c r="BJ793" s="6"/>
      <c r="BK793" s="33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7"/>
    </row>
    <row r="794" spans="42:101" s="4" customFormat="1">
      <c r="AP794" s="13"/>
      <c r="AU794" s="13"/>
      <c r="BC794" s="13"/>
      <c r="BI794" s="6"/>
      <c r="BJ794" s="6"/>
      <c r="BK794" s="33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7"/>
    </row>
    <row r="795" spans="42:101" s="4" customFormat="1">
      <c r="AP795" s="13"/>
      <c r="AU795" s="13"/>
      <c r="BC795" s="13"/>
      <c r="BI795" s="6"/>
      <c r="BJ795" s="6"/>
      <c r="BK795" s="33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7"/>
    </row>
    <row r="796" spans="42:101" s="4" customFormat="1">
      <c r="AP796" s="13"/>
      <c r="AU796" s="13"/>
      <c r="BC796" s="13"/>
      <c r="BI796" s="6"/>
      <c r="BJ796" s="6"/>
      <c r="BK796" s="33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7"/>
    </row>
    <row r="797" spans="42:101" s="4" customFormat="1">
      <c r="AP797" s="13"/>
      <c r="AU797" s="13"/>
      <c r="BC797" s="13"/>
      <c r="BI797" s="6"/>
      <c r="BJ797" s="6"/>
      <c r="BK797" s="33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7"/>
    </row>
    <row r="798" spans="42:101" s="4" customFormat="1">
      <c r="AP798" s="13"/>
      <c r="AU798" s="13"/>
      <c r="BC798" s="13"/>
      <c r="BI798" s="6"/>
      <c r="BJ798" s="6"/>
      <c r="BK798" s="33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7"/>
    </row>
    <row r="799" spans="42:101" s="4" customFormat="1">
      <c r="AP799" s="13"/>
      <c r="AU799" s="13"/>
      <c r="BC799" s="13"/>
      <c r="BI799" s="6"/>
      <c r="BJ799" s="6"/>
      <c r="BK799" s="33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7"/>
    </row>
    <row r="800" spans="42:101" s="4" customFormat="1">
      <c r="AP800" s="13"/>
      <c r="AU800" s="13"/>
      <c r="BC800" s="13"/>
      <c r="BI800" s="6"/>
      <c r="BJ800" s="6"/>
      <c r="BK800" s="33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7"/>
    </row>
    <row r="801" spans="42:101" s="4" customFormat="1">
      <c r="AP801" s="13"/>
      <c r="AU801" s="13"/>
      <c r="BC801" s="13"/>
      <c r="BI801" s="6"/>
      <c r="BJ801" s="6"/>
      <c r="BK801" s="33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7"/>
    </row>
    <row r="802" spans="42:101" s="4" customFormat="1">
      <c r="AP802" s="13"/>
      <c r="AU802" s="13"/>
      <c r="BC802" s="13"/>
      <c r="BI802" s="6"/>
      <c r="BJ802" s="6"/>
      <c r="BK802" s="33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7"/>
    </row>
    <row r="803" spans="42:101" s="4" customFormat="1">
      <c r="AP803" s="13"/>
      <c r="AU803" s="13"/>
      <c r="BC803" s="13"/>
      <c r="BI803" s="6"/>
      <c r="BJ803" s="6"/>
      <c r="BK803" s="33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7"/>
    </row>
    <row r="804" spans="42:101" s="4" customFormat="1">
      <c r="AP804" s="13"/>
      <c r="AU804" s="13"/>
      <c r="BC804" s="13"/>
      <c r="BI804" s="6"/>
      <c r="BJ804" s="6"/>
      <c r="BK804" s="33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7"/>
    </row>
    <row r="805" spans="42:101" s="4" customFormat="1">
      <c r="AP805" s="13"/>
      <c r="AU805" s="13"/>
      <c r="BC805" s="13"/>
      <c r="BI805" s="6"/>
      <c r="BJ805" s="6"/>
      <c r="BK805" s="33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7"/>
    </row>
    <row r="806" spans="42:101" s="4" customFormat="1">
      <c r="AP806" s="13"/>
      <c r="AU806" s="13"/>
      <c r="BC806" s="13"/>
      <c r="BI806" s="6"/>
      <c r="BJ806" s="6"/>
      <c r="BK806" s="33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7"/>
    </row>
    <row r="807" spans="42:101" s="4" customFormat="1">
      <c r="AP807" s="13"/>
      <c r="AU807" s="13"/>
      <c r="BC807" s="13"/>
      <c r="BI807" s="6"/>
      <c r="BJ807" s="6"/>
      <c r="BK807" s="33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7"/>
    </row>
    <row r="808" spans="42:101" s="4" customFormat="1">
      <c r="AP808" s="13"/>
      <c r="AU808" s="13"/>
      <c r="BC808" s="13"/>
      <c r="BI808" s="6"/>
      <c r="BJ808" s="6"/>
      <c r="BK808" s="33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7"/>
    </row>
    <row r="809" spans="42:101" s="4" customFormat="1">
      <c r="AP809" s="13"/>
      <c r="AU809" s="13"/>
      <c r="BC809" s="13"/>
      <c r="BI809" s="6"/>
      <c r="BJ809" s="6"/>
      <c r="BK809" s="33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7"/>
    </row>
    <row r="810" spans="42:101" s="4" customFormat="1">
      <c r="AP810" s="13"/>
      <c r="AU810" s="13"/>
      <c r="BC810" s="13"/>
      <c r="BI810" s="6"/>
      <c r="BJ810" s="6"/>
      <c r="BK810" s="33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7"/>
    </row>
    <row r="811" spans="42:101" s="4" customFormat="1">
      <c r="AP811" s="13"/>
      <c r="AU811" s="13"/>
      <c r="BC811" s="13"/>
      <c r="BI811" s="6"/>
      <c r="BJ811" s="6"/>
      <c r="BK811" s="33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7"/>
    </row>
    <row r="812" spans="42:101" s="4" customFormat="1">
      <c r="AP812" s="13"/>
      <c r="AU812" s="13"/>
      <c r="BC812" s="13"/>
      <c r="BI812" s="6"/>
      <c r="BJ812" s="6"/>
      <c r="BK812" s="33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7"/>
    </row>
    <row r="813" spans="42:101" s="4" customFormat="1">
      <c r="AP813" s="13"/>
      <c r="AU813" s="13"/>
      <c r="BC813" s="13"/>
      <c r="BI813" s="6"/>
      <c r="BJ813" s="6"/>
      <c r="BK813" s="33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7"/>
    </row>
    <row r="814" spans="42:101" s="4" customFormat="1">
      <c r="AP814" s="13"/>
      <c r="AU814" s="13"/>
      <c r="BC814" s="13"/>
      <c r="BI814" s="6"/>
      <c r="BJ814" s="6"/>
      <c r="BK814" s="33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7"/>
    </row>
    <row r="815" spans="42:101" s="4" customFormat="1">
      <c r="AP815" s="13"/>
      <c r="AU815" s="13"/>
      <c r="BC815" s="13"/>
      <c r="BI815" s="6"/>
      <c r="BJ815" s="6"/>
      <c r="BK815" s="33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7"/>
    </row>
    <row r="816" spans="42:101" s="4" customFormat="1">
      <c r="AP816" s="13"/>
      <c r="AU816" s="13"/>
      <c r="BC816" s="13"/>
      <c r="BI816" s="6"/>
      <c r="BJ816" s="6"/>
      <c r="BK816" s="33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7"/>
    </row>
    <row r="817" spans="42:101" s="4" customFormat="1">
      <c r="AP817" s="13"/>
      <c r="AU817" s="13"/>
      <c r="BC817" s="13"/>
      <c r="BI817" s="6"/>
      <c r="BJ817" s="6"/>
      <c r="BK817" s="33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7"/>
    </row>
    <row r="818" spans="42:101" s="4" customFormat="1">
      <c r="AP818" s="13"/>
      <c r="AU818" s="13"/>
      <c r="BC818" s="13"/>
      <c r="BI818" s="6"/>
      <c r="BJ818" s="6"/>
      <c r="BK818" s="33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7"/>
    </row>
    <row r="819" spans="42:101" s="4" customFormat="1">
      <c r="AP819" s="13"/>
      <c r="AU819" s="13"/>
      <c r="BC819" s="13"/>
      <c r="BI819" s="6"/>
      <c r="BJ819" s="6"/>
      <c r="BK819" s="33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7"/>
    </row>
    <row r="820" spans="42:101" s="4" customFormat="1">
      <c r="AP820" s="13"/>
      <c r="AU820" s="13"/>
      <c r="BC820" s="13"/>
      <c r="BI820" s="6"/>
      <c r="BJ820" s="6"/>
      <c r="BK820" s="33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7"/>
    </row>
    <row r="821" spans="42:101" s="4" customFormat="1">
      <c r="AP821" s="13"/>
      <c r="AU821" s="13"/>
      <c r="BC821" s="13"/>
      <c r="BI821" s="6"/>
      <c r="BJ821" s="6"/>
      <c r="BK821" s="33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7"/>
    </row>
    <row r="822" spans="42:101" s="4" customFormat="1">
      <c r="AP822" s="13"/>
      <c r="AU822" s="13"/>
      <c r="BC822" s="13"/>
      <c r="BI822" s="6"/>
      <c r="BJ822" s="6"/>
      <c r="BK822" s="33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7"/>
    </row>
    <row r="823" spans="42:101" s="4" customFormat="1">
      <c r="AP823" s="13"/>
      <c r="AU823" s="13"/>
      <c r="BC823" s="13"/>
      <c r="BI823" s="6"/>
      <c r="BJ823" s="6"/>
      <c r="BK823" s="33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7"/>
    </row>
    <row r="824" spans="42:101" s="4" customFormat="1">
      <c r="AP824" s="13"/>
      <c r="AU824" s="13"/>
      <c r="BC824" s="13"/>
      <c r="BI824" s="6"/>
      <c r="BJ824" s="6"/>
      <c r="BK824" s="33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7"/>
    </row>
    <row r="825" spans="42:101" s="4" customFormat="1">
      <c r="AP825" s="13"/>
      <c r="AU825" s="13"/>
      <c r="BC825" s="13"/>
      <c r="BI825" s="6"/>
      <c r="BJ825" s="6"/>
      <c r="BK825" s="33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7"/>
    </row>
    <row r="826" spans="42:101" s="4" customFormat="1">
      <c r="AP826" s="13"/>
      <c r="AU826" s="13"/>
      <c r="BC826" s="13"/>
      <c r="BI826" s="6"/>
      <c r="BJ826" s="6"/>
      <c r="BK826" s="33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7"/>
    </row>
    <row r="827" spans="42:101" s="4" customFormat="1">
      <c r="AP827" s="13"/>
      <c r="AU827" s="13"/>
      <c r="BC827" s="13"/>
      <c r="BI827" s="6"/>
      <c r="BJ827" s="6"/>
      <c r="BK827" s="33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7"/>
    </row>
    <row r="828" spans="42:101" s="4" customFormat="1">
      <c r="AP828" s="13"/>
      <c r="AU828" s="13"/>
      <c r="BC828" s="13"/>
      <c r="BI828" s="6"/>
      <c r="BJ828" s="6"/>
      <c r="BK828" s="33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7"/>
    </row>
    <row r="829" spans="42:101" s="4" customFormat="1">
      <c r="AP829" s="13"/>
      <c r="AU829" s="13"/>
      <c r="BC829" s="13"/>
      <c r="BI829" s="6"/>
      <c r="BJ829" s="6"/>
      <c r="BK829" s="33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7"/>
    </row>
    <row r="830" spans="42:101" s="4" customFormat="1">
      <c r="AP830" s="13"/>
      <c r="AU830" s="13"/>
      <c r="BC830" s="13"/>
      <c r="BI830" s="6"/>
      <c r="BJ830" s="6"/>
      <c r="BK830" s="33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7"/>
    </row>
    <row r="831" spans="42:101" s="4" customFormat="1">
      <c r="AP831" s="13"/>
      <c r="AU831" s="13"/>
      <c r="BC831" s="13"/>
      <c r="BI831" s="6"/>
      <c r="BJ831" s="6"/>
      <c r="BK831" s="33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7"/>
    </row>
    <row r="832" spans="42:101" s="4" customFormat="1">
      <c r="AP832" s="13"/>
      <c r="AU832" s="13"/>
      <c r="BC832" s="13"/>
      <c r="BI832" s="6"/>
      <c r="BJ832" s="6"/>
      <c r="BK832" s="33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7"/>
    </row>
    <row r="833" spans="42:101" s="4" customFormat="1">
      <c r="AP833" s="13"/>
      <c r="AU833" s="13"/>
      <c r="BC833" s="13"/>
      <c r="BI833" s="6"/>
      <c r="BJ833" s="6"/>
      <c r="BK833" s="33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7"/>
    </row>
    <row r="834" spans="42:101" s="4" customFormat="1">
      <c r="AP834" s="13"/>
      <c r="AU834" s="13"/>
      <c r="BC834" s="13"/>
      <c r="BI834" s="6"/>
      <c r="BJ834" s="6"/>
      <c r="BK834" s="33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7"/>
    </row>
    <row r="835" spans="42:101" s="4" customFormat="1">
      <c r="AP835" s="13"/>
      <c r="AU835" s="13"/>
      <c r="BC835" s="13"/>
      <c r="BI835" s="6"/>
      <c r="BJ835" s="6"/>
      <c r="BK835" s="33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7"/>
    </row>
    <row r="836" spans="42:101" s="4" customFormat="1">
      <c r="AP836" s="13"/>
      <c r="AU836" s="13"/>
      <c r="BC836" s="13"/>
      <c r="BI836" s="6"/>
      <c r="BJ836" s="6"/>
      <c r="BK836" s="33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7"/>
    </row>
    <row r="837" spans="42:101" s="4" customFormat="1">
      <c r="AP837" s="13"/>
      <c r="AU837" s="13"/>
      <c r="BC837" s="13"/>
      <c r="BI837" s="6"/>
      <c r="BJ837" s="6"/>
      <c r="BK837" s="33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7"/>
    </row>
    <row r="838" spans="42:101" s="4" customFormat="1">
      <c r="AP838" s="13"/>
      <c r="AU838" s="13"/>
      <c r="BC838" s="13"/>
      <c r="BI838" s="6"/>
      <c r="BJ838" s="6"/>
      <c r="BK838" s="33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7"/>
    </row>
    <row r="839" spans="42:101" s="4" customFormat="1">
      <c r="AP839" s="13"/>
      <c r="AU839" s="13"/>
      <c r="BC839" s="13"/>
      <c r="BI839" s="6"/>
      <c r="BJ839" s="6"/>
      <c r="BK839" s="33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7"/>
    </row>
    <row r="840" spans="42:101" s="4" customFormat="1">
      <c r="AP840" s="13"/>
      <c r="AU840" s="13"/>
      <c r="BC840" s="13"/>
      <c r="BI840" s="6"/>
      <c r="BJ840" s="6"/>
      <c r="BK840" s="33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7"/>
    </row>
    <row r="841" spans="42:101" s="4" customFormat="1">
      <c r="AP841" s="13"/>
      <c r="AU841" s="13"/>
      <c r="BC841" s="13"/>
      <c r="BI841" s="6"/>
      <c r="BJ841" s="6"/>
      <c r="BK841" s="33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7"/>
    </row>
    <row r="842" spans="42:101" s="4" customFormat="1">
      <c r="AP842" s="13"/>
      <c r="AU842" s="13"/>
      <c r="BC842" s="13"/>
      <c r="BI842" s="6"/>
      <c r="BJ842" s="6"/>
      <c r="BK842" s="33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7"/>
    </row>
    <row r="843" spans="42:101" s="4" customFormat="1">
      <c r="AP843" s="13"/>
      <c r="AU843" s="13"/>
      <c r="BC843" s="13"/>
      <c r="BI843" s="6"/>
      <c r="BJ843" s="6"/>
      <c r="BK843" s="33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7"/>
    </row>
    <row r="844" spans="42:101" s="4" customFormat="1">
      <c r="AP844" s="13"/>
      <c r="AU844" s="13"/>
      <c r="BC844" s="13"/>
      <c r="BI844" s="6"/>
      <c r="BJ844" s="6"/>
      <c r="BK844" s="33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7"/>
    </row>
    <row r="845" spans="42:101" s="4" customFormat="1">
      <c r="AP845" s="13"/>
      <c r="AU845" s="13"/>
      <c r="BC845" s="13"/>
      <c r="BI845" s="6"/>
      <c r="BJ845" s="6"/>
      <c r="BK845" s="33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7"/>
    </row>
    <row r="846" spans="42:101" s="4" customFormat="1">
      <c r="AP846" s="13"/>
      <c r="AU846" s="13"/>
      <c r="BC846" s="13"/>
      <c r="BI846" s="6"/>
      <c r="BJ846" s="6"/>
      <c r="BK846" s="33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7"/>
    </row>
    <row r="847" spans="42:101" s="4" customFormat="1">
      <c r="AP847" s="13"/>
      <c r="AU847" s="13"/>
      <c r="BC847" s="13"/>
      <c r="BI847" s="6"/>
      <c r="BJ847" s="6"/>
      <c r="BK847" s="33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7"/>
    </row>
    <row r="848" spans="42:101" s="4" customFormat="1">
      <c r="AP848" s="13"/>
      <c r="AU848" s="13"/>
      <c r="BC848" s="13"/>
      <c r="BI848" s="6"/>
      <c r="BJ848" s="6"/>
      <c r="BK848" s="33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7"/>
    </row>
    <row r="849" spans="42:101" s="4" customFormat="1">
      <c r="AP849" s="13"/>
      <c r="AU849" s="13"/>
      <c r="BC849" s="13"/>
      <c r="BI849" s="6"/>
      <c r="BJ849" s="6"/>
      <c r="BK849" s="33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7"/>
    </row>
    <row r="850" spans="42:101" s="4" customFormat="1">
      <c r="AP850" s="13"/>
      <c r="AU850" s="13"/>
      <c r="BC850" s="13"/>
      <c r="BI850" s="6"/>
      <c r="BJ850" s="6"/>
      <c r="BK850" s="33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7"/>
    </row>
    <row r="851" spans="42:101" s="4" customFormat="1">
      <c r="AP851" s="13"/>
      <c r="AU851" s="13"/>
      <c r="BC851" s="13"/>
      <c r="BI851" s="6"/>
      <c r="BJ851" s="6"/>
      <c r="BK851" s="33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7"/>
    </row>
    <row r="852" spans="42:101" s="4" customFormat="1">
      <c r="AP852" s="13"/>
      <c r="AU852" s="13"/>
      <c r="BC852" s="13"/>
      <c r="BI852" s="6"/>
      <c r="BJ852" s="6"/>
      <c r="BK852" s="33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7"/>
    </row>
    <row r="853" spans="42:101" s="4" customFormat="1">
      <c r="AP853" s="13"/>
      <c r="AU853" s="13"/>
      <c r="BC853" s="13"/>
      <c r="BI853" s="6"/>
      <c r="BJ853" s="6"/>
      <c r="BK853" s="33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7"/>
    </row>
    <row r="854" spans="42:101" s="4" customFormat="1">
      <c r="AP854" s="13"/>
      <c r="AU854" s="13"/>
      <c r="BC854" s="13"/>
      <c r="BI854" s="6"/>
      <c r="BJ854" s="6"/>
      <c r="BK854" s="33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7"/>
    </row>
    <row r="855" spans="42:101" s="4" customFormat="1">
      <c r="AP855" s="13"/>
      <c r="AU855" s="13"/>
      <c r="BC855" s="13"/>
      <c r="BI855" s="6"/>
      <c r="BJ855" s="6"/>
      <c r="BK855" s="33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7"/>
    </row>
    <row r="856" spans="42:101" s="4" customFormat="1">
      <c r="AP856" s="13"/>
      <c r="AU856" s="13"/>
      <c r="BC856" s="13"/>
      <c r="BI856" s="6"/>
      <c r="BJ856" s="6"/>
      <c r="BK856" s="33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7"/>
    </row>
    <row r="857" spans="42:101" s="4" customFormat="1">
      <c r="AP857" s="13"/>
      <c r="AU857" s="13"/>
      <c r="BC857" s="13"/>
      <c r="BI857" s="6"/>
      <c r="BJ857" s="6"/>
      <c r="BK857" s="33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7"/>
    </row>
    <row r="858" spans="42:101" s="4" customFormat="1">
      <c r="AP858" s="13"/>
      <c r="AU858" s="13"/>
      <c r="BC858" s="13"/>
      <c r="BI858" s="6"/>
      <c r="BJ858" s="6"/>
      <c r="BK858" s="33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7"/>
    </row>
    <row r="859" spans="42:101" s="4" customFormat="1">
      <c r="AP859" s="13"/>
      <c r="AU859" s="13"/>
      <c r="BC859" s="13"/>
      <c r="BI859" s="6"/>
      <c r="BJ859" s="6"/>
      <c r="BK859" s="33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7"/>
    </row>
    <row r="860" spans="42:101" s="4" customFormat="1">
      <c r="AP860" s="13"/>
      <c r="AU860" s="13"/>
      <c r="BC860" s="13"/>
      <c r="BI860" s="6"/>
      <c r="BJ860" s="6"/>
      <c r="BK860" s="33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7"/>
    </row>
    <row r="861" spans="42:101" s="4" customFormat="1">
      <c r="AP861" s="13"/>
      <c r="AU861" s="13"/>
      <c r="BC861" s="13"/>
      <c r="BI861" s="6"/>
      <c r="BJ861" s="6"/>
      <c r="BK861" s="33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7"/>
    </row>
    <row r="862" spans="42:101" s="4" customFormat="1">
      <c r="AP862" s="13"/>
      <c r="AU862" s="13"/>
      <c r="BC862" s="13"/>
      <c r="BI862" s="6"/>
      <c r="BJ862" s="6"/>
      <c r="BK862" s="33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7"/>
    </row>
    <row r="863" spans="42:101" s="4" customFormat="1">
      <c r="AP863" s="13"/>
      <c r="AU863" s="13"/>
      <c r="BC863" s="13"/>
      <c r="BI863" s="6"/>
      <c r="BJ863" s="6"/>
      <c r="BK863" s="33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7"/>
    </row>
    <row r="864" spans="42:101" s="4" customFormat="1">
      <c r="AP864" s="13"/>
      <c r="AU864" s="13"/>
      <c r="BC864" s="13"/>
      <c r="BI864" s="6"/>
      <c r="BJ864" s="6"/>
      <c r="BK864" s="33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7"/>
    </row>
    <row r="865" spans="42:101" s="4" customFormat="1">
      <c r="AP865" s="13"/>
      <c r="AU865" s="13"/>
      <c r="BC865" s="13"/>
      <c r="BI865" s="6"/>
      <c r="BJ865" s="6"/>
      <c r="BK865" s="33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7"/>
    </row>
    <row r="866" spans="42:101" s="4" customFormat="1">
      <c r="AP866" s="13"/>
      <c r="AU866" s="13"/>
      <c r="BC866" s="13"/>
      <c r="BI866" s="6"/>
      <c r="BJ866" s="6"/>
      <c r="BK866" s="33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7"/>
    </row>
    <row r="867" spans="42:101" s="4" customFormat="1">
      <c r="AP867" s="13"/>
      <c r="AU867" s="13"/>
      <c r="BC867" s="13"/>
      <c r="BI867" s="6"/>
      <c r="BJ867" s="6"/>
      <c r="BK867" s="33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7"/>
    </row>
    <row r="868" spans="42:101" s="4" customFormat="1">
      <c r="AP868" s="13"/>
      <c r="AU868" s="13"/>
      <c r="BC868" s="13"/>
      <c r="BI868" s="6"/>
      <c r="BJ868" s="6"/>
      <c r="BK868" s="33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7"/>
    </row>
    <row r="869" spans="42:101" s="4" customFormat="1">
      <c r="AP869" s="13"/>
      <c r="AU869" s="13"/>
      <c r="BC869" s="13"/>
      <c r="BI869" s="6"/>
      <c r="BJ869" s="6"/>
      <c r="BK869" s="33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7"/>
    </row>
    <row r="870" spans="42:101" s="4" customFormat="1">
      <c r="AP870" s="13"/>
      <c r="AU870" s="13"/>
      <c r="BC870" s="13"/>
      <c r="BI870" s="6"/>
      <c r="BJ870" s="6"/>
      <c r="BK870" s="33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7"/>
    </row>
    <row r="871" spans="42:101" s="4" customFormat="1">
      <c r="AP871" s="13"/>
      <c r="AU871" s="13"/>
      <c r="BC871" s="13"/>
      <c r="BI871" s="6"/>
      <c r="BJ871" s="6"/>
      <c r="BK871" s="33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7"/>
    </row>
    <row r="872" spans="42:101" s="4" customFormat="1">
      <c r="AP872" s="13"/>
      <c r="AU872" s="13"/>
      <c r="BC872" s="13"/>
      <c r="BI872" s="6"/>
      <c r="BJ872" s="6"/>
      <c r="BK872" s="33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7"/>
    </row>
    <row r="873" spans="42:101" s="4" customFormat="1">
      <c r="AP873" s="13"/>
      <c r="AU873" s="13"/>
      <c r="BC873" s="13"/>
      <c r="BI873" s="6"/>
      <c r="BJ873" s="6"/>
      <c r="BK873" s="33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7"/>
    </row>
    <row r="874" spans="42:101" s="4" customFormat="1">
      <c r="AP874" s="13"/>
      <c r="AU874" s="13"/>
      <c r="BC874" s="13"/>
      <c r="BI874" s="6"/>
      <c r="BJ874" s="6"/>
      <c r="BK874" s="33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7"/>
    </row>
    <row r="875" spans="42:101" s="4" customFormat="1">
      <c r="AP875" s="13"/>
      <c r="AU875" s="13"/>
      <c r="BC875" s="13"/>
      <c r="BI875" s="6"/>
      <c r="BJ875" s="6"/>
      <c r="BK875" s="33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7"/>
    </row>
    <row r="876" spans="42:101" s="4" customFormat="1">
      <c r="AP876" s="13"/>
      <c r="AU876" s="13"/>
      <c r="BC876" s="13"/>
      <c r="BI876" s="6"/>
      <c r="BJ876" s="6"/>
      <c r="BK876" s="33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7"/>
    </row>
    <row r="877" spans="42:101" s="4" customFormat="1">
      <c r="AP877" s="13"/>
      <c r="AU877" s="13"/>
      <c r="BC877" s="13"/>
      <c r="BI877" s="6"/>
      <c r="BJ877" s="6"/>
      <c r="BK877" s="33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7"/>
    </row>
    <row r="878" spans="42:101" s="4" customFormat="1">
      <c r="AP878" s="13"/>
      <c r="AU878" s="13"/>
      <c r="BC878" s="13"/>
      <c r="BI878" s="6"/>
      <c r="BJ878" s="6"/>
      <c r="BK878" s="33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7"/>
    </row>
    <row r="879" spans="42:101" s="4" customFormat="1">
      <c r="AP879" s="13"/>
      <c r="AU879" s="13"/>
      <c r="BC879" s="13"/>
      <c r="BI879" s="6"/>
      <c r="BJ879" s="6"/>
      <c r="BK879" s="33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7"/>
    </row>
    <row r="880" spans="42:101" s="4" customFormat="1">
      <c r="AP880" s="13"/>
      <c r="AU880" s="13"/>
      <c r="BC880" s="13"/>
      <c r="BI880" s="6"/>
      <c r="BJ880" s="6"/>
      <c r="BK880" s="33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7"/>
    </row>
    <row r="881" spans="42:101" s="4" customFormat="1">
      <c r="AP881" s="13"/>
      <c r="AU881" s="13"/>
      <c r="BC881" s="13"/>
      <c r="BI881" s="6"/>
      <c r="BJ881" s="6"/>
      <c r="BK881" s="33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7"/>
    </row>
    <row r="882" spans="42:101" s="4" customFormat="1">
      <c r="AP882" s="13"/>
      <c r="AU882" s="13"/>
      <c r="BC882" s="13"/>
      <c r="BI882" s="6"/>
      <c r="BJ882" s="6"/>
      <c r="BK882" s="33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7"/>
    </row>
    <row r="883" spans="42:101" s="4" customFormat="1">
      <c r="AP883" s="13"/>
      <c r="AU883" s="13"/>
      <c r="BC883" s="13"/>
      <c r="BI883" s="6"/>
      <c r="BJ883" s="6"/>
      <c r="BK883" s="33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7"/>
    </row>
    <row r="884" spans="42:101" s="4" customFormat="1">
      <c r="AP884" s="13"/>
      <c r="AU884" s="13"/>
      <c r="BC884" s="13"/>
      <c r="BI884" s="6"/>
      <c r="BJ884" s="6"/>
      <c r="BK884" s="33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7"/>
    </row>
    <row r="885" spans="42:101" s="4" customFormat="1">
      <c r="AP885" s="13"/>
      <c r="AU885" s="13"/>
      <c r="BC885" s="13"/>
      <c r="BI885" s="6"/>
      <c r="BJ885" s="6"/>
      <c r="BK885" s="33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7"/>
    </row>
    <row r="886" spans="42:101" s="4" customFormat="1">
      <c r="AP886" s="13"/>
      <c r="AU886" s="13"/>
      <c r="BC886" s="13"/>
      <c r="BI886" s="6"/>
      <c r="BJ886" s="6"/>
      <c r="BK886" s="33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7"/>
    </row>
    <row r="887" spans="42:101" s="4" customFormat="1">
      <c r="AP887" s="13"/>
      <c r="AU887" s="13"/>
      <c r="BC887" s="13"/>
      <c r="BI887" s="6"/>
      <c r="BJ887" s="6"/>
      <c r="BK887" s="33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7"/>
    </row>
    <row r="888" spans="42:101" s="4" customFormat="1">
      <c r="AP888" s="13"/>
      <c r="AU888" s="13"/>
      <c r="BC888" s="13"/>
      <c r="BI888" s="6"/>
      <c r="BJ888" s="6"/>
      <c r="BK888" s="33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7"/>
    </row>
    <row r="889" spans="42:101" s="4" customFormat="1">
      <c r="AP889" s="13"/>
      <c r="AU889" s="13"/>
      <c r="BC889" s="13"/>
      <c r="BI889" s="6"/>
      <c r="BJ889" s="6"/>
      <c r="BK889" s="33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7"/>
    </row>
    <row r="890" spans="42:101" s="4" customFormat="1">
      <c r="AP890" s="13"/>
      <c r="AU890" s="13"/>
      <c r="BC890" s="13"/>
      <c r="BI890" s="6"/>
      <c r="BJ890" s="6"/>
      <c r="BK890" s="33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7"/>
    </row>
    <row r="891" spans="42:101" s="4" customFormat="1">
      <c r="AP891" s="13"/>
      <c r="AU891" s="13"/>
      <c r="BC891" s="13"/>
      <c r="BI891" s="6"/>
      <c r="BJ891" s="6"/>
      <c r="BK891" s="33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7"/>
    </row>
    <row r="892" spans="42:101" s="4" customFormat="1">
      <c r="AP892" s="13"/>
      <c r="AU892" s="13"/>
      <c r="BC892" s="13"/>
      <c r="BI892" s="6"/>
      <c r="BJ892" s="6"/>
      <c r="BK892" s="33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7"/>
    </row>
    <row r="893" spans="42:101" s="4" customFormat="1">
      <c r="AP893" s="13"/>
      <c r="AU893" s="13"/>
      <c r="BC893" s="13"/>
      <c r="BI893" s="6"/>
      <c r="BJ893" s="6"/>
      <c r="BK893" s="33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7"/>
    </row>
    <row r="894" spans="42:101" s="4" customFormat="1">
      <c r="AP894" s="13"/>
      <c r="AU894" s="13"/>
      <c r="BC894" s="13"/>
      <c r="BI894" s="6"/>
      <c r="BJ894" s="6"/>
      <c r="BK894" s="33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7"/>
    </row>
    <row r="895" spans="42:101" s="4" customFormat="1">
      <c r="AP895" s="13"/>
      <c r="AU895" s="13"/>
      <c r="BC895" s="13"/>
      <c r="BI895" s="6"/>
      <c r="BJ895" s="6"/>
      <c r="BK895" s="33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7"/>
    </row>
    <row r="896" spans="42:101" s="4" customFormat="1">
      <c r="AP896" s="13"/>
      <c r="AU896" s="13"/>
      <c r="BC896" s="13"/>
      <c r="BI896" s="6"/>
      <c r="BJ896" s="6"/>
      <c r="BK896" s="33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7"/>
    </row>
    <row r="897" spans="42:101" s="4" customFormat="1">
      <c r="AP897" s="13"/>
      <c r="AU897" s="13"/>
      <c r="BC897" s="13"/>
      <c r="BI897" s="6"/>
      <c r="BJ897" s="6"/>
      <c r="BK897" s="33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7"/>
    </row>
    <row r="898" spans="42:101" s="4" customFormat="1">
      <c r="AP898" s="13"/>
      <c r="AU898" s="13"/>
      <c r="BC898" s="13"/>
      <c r="BI898" s="6"/>
      <c r="BJ898" s="6"/>
      <c r="BK898" s="33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7"/>
    </row>
    <row r="899" spans="42:101" s="4" customFormat="1">
      <c r="AP899" s="13"/>
      <c r="AU899" s="13"/>
      <c r="BC899" s="13"/>
      <c r="BI899" s="6"/>
      <c r="BJ899" s="6"/>
      <c r="BK899" s="33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7"/>
    </row>
    <row r="900" spans="42:101" s="4" customFormat="1">
      <c r="AP900" s="13"/>
      <c r="AU900" s="13"/>
      <c r="BC900" s="13"/>
      <c r="BI900" s="6"/>
      <c r="BJ900" s="6"/>
      <c r="BK900" s="33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7"/>
    </row>
    <row r="901" spans="42:101" s="4" customFormat="1">
      <c r="AP901" s="13"/>
      <c r="AU901" s="13"/>
      <c r="BC901" s="13"/>
      <c r="BI901" s="6"/>
      <c r="BJ901" s="6"/>
      <c r="BK901" s="33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7"/>
    </row>
    <row r="902" spans="42:101" s="4" customFormat="1">
      <c r="AP902" s="13"/>
      <c r="AU902" s="13"/>
      <c r="BC902" s="13"/>
      <c r="BI902" s="6"/>
      <c r="BJ902" s="6"/>
      <c r="BK902" s="33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7"/>
    </row>
    <row r="903" spans="42:101" s="4" customFormat="1">
      <c r="AP903" s="13"/>
      <c r="AU903" s="13"/>
      <c r="BC903" s="13"/>
      <c r="BI903" s="6"/>
      <c r="BJ903" s="6"/>
      <c r="BK903" s="33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7"/>
    </row>
    <row r="904" spans="42:101" s="4" customFormat="1">
      <c r="AP904" s="13"/>
      <c r="AU904" s="13"/>
      <c r="BC904" s="13"/>
      <c r="BI904" s="6"/>
      <c r="BJ904" s="6"/>
      <c r="BK904" s="33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7"/>
    </row>
    <row r="905" spans="42:101" s="4" customFormat="1">
      <c r="AP905" s="13"/>
      <c r="AU905" s="13"/>
      <c r="BC905" s="13"/>
      <c r="BI905" s="6"/>
      <c r="BJ905" s="6"/>
      <c r="BK905" s="33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7"/>
    </row>
    <row r="906" spans="42:101" s="4" customFormat="1">
      <c r="AP906" s="13"/>
      <c r="AU906" s="13"/>
      <c r="BC906" s="13"/>
      <c r="BI906" s="6"/>
      <c r="BJ906" s="6"/>
      <c r="BK906" s="33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7"/>
    </row>
    <row r="907" spans="42:101" s="4" customFormat="1">
      <c r="AP907" s="13"/>
      <c r="AU907" s="13"/>
      <c r="BC907" s="13"/>
      <c r="BI907" s="6"/>
      <c r="BJ907" s="6"/>
      <c r="BK907" s="33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7"/>
    </row>
    <row r="908" spans="42:101" s="4" customFormat="1">
      <c r="AP908" s="13"/>
      <c r="AU908" s="13"/>
      <c r="BC908" s="13"/>
      <c r="BI908" s="6"/>
      <c r="BJ908" s="6"/>
      <c r="BK908" s="33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7"/>
    </row>
    <row r="909" spans="42:101" s="4" customFormat="1">
      <c r="AP909" s="13"/>
      <c r="AU909" s="13"/>
      <c r="BC909" s="13"/>
      <c r="BI909" s="6"/>
      <c r="BJ909" s="6"/>
      <c r="BK909" s="33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7"/>
    </row>
    <row r="910" spans="42:101" s="4" customFormat="1">
      <c r="AP910" s="13"/>
      <c r="AU910" s="13"/>
      <c r="BC910" s="13"/>
      <c r="BI910" s="6"/>
      <c r="BJ910" s="6"/>
      <c r="BK910" s="33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7"/>
    </row>
    <row r="911" spans="42:101" s="4" customFormat="1">
      <c r="AP911" s="13"/>
      <c r="AU911" s="13"/>
      <c r="BC911" s="13"/>
      <c r="BI911" s="6"/>
      <c r="BJ911" s="6"/>
      <c r="BK911" s="33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7"/>
    </row>
    <row r="912" spans="42:101" s="4" customFormat="1">
      <c r="AP912" s="13"/>
      <c r="AU912" s="13"/>
      <c r="BC912" s="13"/>
      <c r="BI912" s="6"/>
      <c r="BJ912" s="6"/>
      <c r="BK912" s="33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7"/>
    </row>
    <row r="913" spans="42:101" s="4" customFormat="1">
      <c r="AP913" s="13"/>
      <c r="AU913" s="13"/>
      <c r="BC913" s="13"/>
      <c r="BI913" s="6"/>
      <c r="BJ913" s="6"/>
      <c r="BK913" s="33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7"/>
    </row>
    <row r="914" spans="42:101" s="4" customFormat="1">
      <c r="AP914" s="13"/>
      <c r="AU914" s="13"/>
      <c r="BC914" s="13"/>
      <c r="BI914" s="6"/>
      <c r="BJ914" s="6"/>
      <c r="BK914" s="33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7"/>
    </row>
    <row r="915" spans="42:101" s="4" customFormat="1">
      <c r="AP915" s="13"/>
      <c r="AU915" s="13"/>
      <c r="BC915" s="13"/>
      <c r="BI915" s="6"/>
      <c r="BJ915" s="6"/>
      <c r="BK915" s="33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7"/>
    </row>
    <row r="916" spans="42:101" s="4" customFormat="1">
      <c r="AP916" s="13"/>
      <c r="AU916" s="13"/>
      <c r="BC916" s="13"/>
      <c r="BI916" s="6"/>
      <c r="BJ916" s="6"/>
      <c r="BK916" s="33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7"/>
    </row>
    <row r="917" spans="42:101" s="4" customFormat="1">
      <c r="AP917" s="13"/>
      <c r="AU917" s="13"/>
      <c r="BC917" s="13"/>
      <c r="BI917" s="6"/>
      <c r="BJ917" s="6"/>
      <c r="BK917" s="33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7"/>
    </row>
    <row r="918" spans="42:101" s="4" customFormat="1">
      <c r="AP918" s="13"/>
      <c r="AU918" s="13"/>
      <c r="BC918" s="13"/>
      <c r="BI918" s="6"/>
      <c r="BJ918" s="6"/>
      <c r="BK918" s="33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7"/>
    </row>
    <row r="919" spans="42:101" s="4" customFormat="1">
      <c r="AP919" s="13"/>
      <c r="AU919" s="13"/>
      <c r="BC919" s="13"/>
      <c r="BI919" s="6"/>
      <c r="BJ919" s="6"/>
      <c r="BK919" s="33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7"/>
    </row>
    <row r="920" spans="42:101" s="4" customFormat="1">
      <c r="AP920" s="13"/>
      <c r="AU920" s="13"/>
      <c r="BC920" s="13"/>
      <c r="BI920" s="6"/>
      <c r="BJ920" s="6"/>
      <c r="BK920" s="33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7"/>
    </row>
    <row r="921" spans="42:101" s="4" customFormat="1">
      <c r="AP921" s="13"/>
      <c r="AU921" s="13"/>
      <c r="BC921" s="13"/>
      <c r="BI921" s="6"/>
      <c r="BJ921" s="6"/>
      <c r="BK921" s="33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7"/>
    </row>
    <row r="922" spans="42:101" s="4" customFormat="1">
      <c r="AP922" s="13"/>
      <c r="AU922" s="13"/>
      <c r="BC922" s="13"/>
      <c r="BI922" s="6"/>
      <c r="BJ922" s="6"/>
      <c r="BK922" s="33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7"/>
    </row>
    <row r="923" spans="42:101" s="4" customFormat="1">
      <c r="AP923" s="13"/>
      <c r="AU923" s="13"/>
      <c r="BC923" s="13"/>
      <c r="BI923" s="6"/>
      <c r="BJ923" s="6"/>
      <c r="BK923" s="33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7"/>
    </row>
    <row r="924" spans="42:101" s="4" customFormat="1">
      <c r="AP924" s="13"/>
      <c r="AU924" s="13"/>
      <c r="BC924" s="13"/>
      <c r="BI924" s="6"/>
      <c r="BJ924" s="6"/>
      <c r="BK924" s="33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7"/>
    </row>
    <row r="925" spans="42:101" s="4" customFormat="1">
      <c r="AP925" s="13"/>
      <c r="AU925" s="13"/>
      <c r="BC925" s="13"/>
      <c r="BI925" s="6"/>
      <c r="BJ925" s="6"/>
      <c r="BK925" s="33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7"/>
    </row>
    <row r="926" spans="42:101" s="4" customFormat="1">
      <c r="AP926" s="13"/>
      <c r="AU926" s="13"/>
      <c r="BC926" s="13"/>
      <c r="BI926" s="6"/>
      <c r="BJ926" s="6"/>
      <c r="BK926" s="33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7"/>
    </row>
    <row r="927" spans="42:101" s="4" customFormat="1">
      <c r="AP927" s="13"/>
      <c r="AU927" s="13"/>
      <c r="BC927" s="13"/>
      <c r="BI927" s="6"/>
      <c r="BJ927" s="6"/>
      <c r="BK927" s="33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7"/>
    </row>
    <row r="928" spans="42:101" s="4" customFormat="1">
      <c r="AP928" s="13"/>
      <c r="AU928" s="13"/>
      <c r="BC928" s="13"/>
      <c r="BI928" s="6"/>
      <c r="BJ928" s="6"/>
      <c r="BK928" s="33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7"/>
    </row>
    <row r="929" spans="42:101" s="4" customFormat="1">
      <c r="AP929" s="13"/>
      <c r="AU929" s="13"/>
      <c r="BC929" s="13"/>
      <c r="BI929" s="6"/>
      <c r="BJ929" s="6"/>
      <c r="BK929" s="33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7"/>
    </row>
    <row r="930" spans="42:101" s="4" customFormat="1">
      <c r="AP930" s="13"/>
      <c r="AU930" s="13"/>
      <c r="BC930" s="13"/>
      <c r="BI930" s="6"/>
      <c r="BJ930" s="6"/>
      <c r="BK930" s="33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7"/>
    </row>
    <row r="931" spans="42:101" s="4" customFormat="1">
      <c r="AP931" s="13"/>
      <c r="AU931" s="13"/>
      <c r="BC931" s="13"/>
      <c r="BI931" s="6"/>
      <c r="BJ931" s="6"/>
      <c r="BK931" s="33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7"/>
    </row>
    <row r="932" spans="42:101" s="4" customFormat="1">
      <c r="AP932" s="13"/>
      <c r="AU932" s="13"/>
      <c r="BC932" s="13"/>
      <c r="BI932" s="6"/>
      <c r="BJ932" s="6"/>
      <c r="BK932" s="33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7"/>
    </row>
    <row r="933" spans="42:101" s="4" customFormat="1">
      <c r="AP933" s="13"/>
      <c r="AU933" s="13"/>
      <c r="BC933" s="13"/>
      <c r="BI933" s="6"/>
      <c r="BJ933" s="6"/>
      <c r="BK933" s="33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7"/>
    </row>
    <row r="934" spans="42:101" s="4" customFormat="1">
      <c r="AP934" s="13"/>
      <c r="AU934" s="13"/>
      <c r="BC934" s="13"/>
      <c r="BI934" s="6"/>
      <c r="BJ934" s="6"/>
      <c r="BK934" s="33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7"/>
    </row>
    <row r="935" spans="42:101" s="4" customFormat="1">
      <c r="AP935" s="13"/>
      <c r="AU935" s="13"/>
      <c r="BC935" s="13"/>
      <c r="BI935" s="6"/>
      <c r="BJ935" s="6"/>
      <c r="BK935" s="33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7"/>
    </row>
    <row r="936" spans="42:101" s="4" customFormat="1">
      <c r="AP936" s="13"/>
      <c r="AU936" s="13"/>
      <c r="BC936" s="13"/>
      <c r="BI936" s="6"/>
      <c r="BJ936" s="6"/>
      <c r="BK936" s="33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7"/>
    </row>
    <row r="937" spans="42:101" s="4" customFormat="1">
      <c r="AP937" s="13"/>
      <c r="AU937" s="13"/>
      <c r="BC937" s="13"/>
      <c r="BI937" s="6"/>
      <c r="BJ937" s="6"/>
      <c r="BK937" s="33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7"/>
    </row>
    <row r="938" spans="42:101" s="4" customFormat="1">
      <c r="AP938" s="13"/>
      <c r="AU938" s="13"/>
      <c r="BC938" s="13"/>
      <c r="BI938" s="6"/>
      <c r="BJ938" s="6"/>
      <c r="BK938" s="33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7"/>
    </row>
    <row r="939" spans="42:101" s="4" customFormat="1">
      <c r="AP939" s="13"/>
      <c r="AU939" s="13"/>
      <c r="BC939" s="13"/>
      <c r="BI939" s="6"/>
      <c r="BJ939" s="6"/>
      <c r="BK939" s="33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7"/>
    </row>
    <row r="940" spans="42:101" s="4" customFormat="1">
      <c r="AP940" s="13"/>
      <c r="AU940" s="13"/>
      <c r="BC940" s="13"/>
      <c r="BI940" s="6"/>
      <c r="BJ940" s="6"/>
      <c r="BK940" s="33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7"/>
    </row>
    <row r="941" spans="42:101" s="4" customFormat="1">
      <c r="AP941" s="13"/>
      <c r="AU941" s="13"/>
      <c r="BC941" s="13"/>
      <c r="BI941" s="6"/>
      <c r="BJ941" s="6"/>
      <c r="BK941" s="33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7"/>
    </row>
    <row r="942" spans="42:101" s="4" customFormat="1">
      <c r="AP942" s="13"/>
      <c r="AU942" s="13"/>
      <c r="BC942" s="13"/>
      <c r="BI942" s="6"/>
      <c r="BJ942" s="6"/>
      <c r="BK942" s="33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7"/>
    </row>
    <row r="943" spans="42:101" s="4" customFormat="1">
      <c r="AP943" s="13"/>
      <c r="AU943" s="13"/>
      <c r="BC943" s="13"/>
      <c r="BI943" s="6"/>
      <c r="BJ943" s="6"/>
      <c r="BK943" s="33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7"/>
    </row>
    <row r="944" spans="42:101" s="4" customFormat="1">
      <c r="AP944" s="13"/>
      <c r="AU944" s="13"/>
      <c r="BC944" s="13"/>
      <c r="BI944" s="6"/>
      <c r="BJ944" s="6"/>
      <c r="BK944" s="33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7"/>
    </row>
    <row r="945" spans="42:101" s="4" customFormat="1">
      <c r="AP945" s="13"/>
      <c r="AU945" s="13"/>
      <c r="BC945" s="13"/>
      <c r="BI945" s="6"/>
      <c r="BJ945" s="6"/>
      <c r="BK945" s="33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7"/>
    </row>
    <row r="946" spans="42:101" s="4" customFormat="1">
      <c r="AP946" s="13"/>
      <c r="AU946" s="13"/>
      <c r="BC946" s="13"/>
      <c r="BI946" s="6"/>
      <c r="BJ946" s="6"/>
      <c r="BK946" s="33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7"/>
    </row>
    <row r="947" spans="42:101" s="4" customFormat="1">
      <c r="AP947" s="13"/>
      <c r="AU947" s="13"/>
      <c r="BC947" s="13"/>
      <c r="BI947" s="6"/>
      <c r="BJ947" s="6"/>
      <c r="BK947" s="33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7"/>
    </row>
    <row r="948" spans="42:101" s="4" customFormat="1">
      <c r="AP948" s="13"/>
      <c r="AU948" s="13"/>
      <c r="BC948" s="13"/>
      <c r="BI948" s="6"/>
      <c r="BJ948" s="6"/>
      <c r="BK948" s="33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7"/>
    </row>
    <row r="949" spans="42:101" s="4" customFormat="1">
      <c r="AP949" s="13"/>
      <c r="AU949" s="13"/>
      <c r="BC949" s="13"/>
      <c r="BI949" s="6"/>
      <c r="BJ949" s="6"/>
      <c r="BK949" s="33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7"/>
    </row>
    <row r="950" spans="42:101" s="4" customFormat="1">
      <c r="AP950" s="13"/>
      <c r="AU950" s="13"/>
      <c r="BC950" s="13"/>
      <c r="BI950" s="6"/>
      <c r="BJ950" s="6"/>
      <c r="BK950" s="33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7"/>
    </row>
    <row r="951" spans="42:101" s="4" customFormat="1">
      <c r="AP951" s="13"/>
      <c r="AU951" s="13"/>
      <c r="BC951" s="13"/>
      <c r="BI951" s="6"/>
      <c r="BJ951" s="6"/>
      <c r="BK951" s="33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7"/>
    </row>
    <row r="952" spans="42:101" s="4" customFormat="1">
      <c r="AP952" s="13"/>
      <c r="AU952" s="13"/>
      <c r="BC952" s="13"/>
      <c r="BI952" s="6"/>
      <c r="BJ952" s="6"/>
      <c r="BK952" s="33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7"/>
    </row>
    <row r="953" spans="42:101" s="4" customFormat="1">
      <c r="AP953" s="13"/>
      <c r="AU953" s="13"/>
      <c r="BC953" s="13"/>
      <c r="BI953" s="6"/>
      <c r="BJ953" s="6"/>
      <c r="BK953" s="33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7"/>
    </row>
    <row r="954" spans="42:101" s="4" customFormat="1">
      <c r="AP954" s="13"/>
      <c r="AU954" s="13"/>
      <c r="BC954" s="13"/>
      <c r="BI954" s="6"/>
      <c r="BJ954" s="6"/>
      <c r="BK954" s="33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7"/>
    </row>
    <row r="955" spans="42:101" s="4" customFormat="1">
      <c r="AP955" s="13"/>
      <c r="AU955" s="13"/>
      <c r="BC955" s="13"/>
      <c r="BI955" s="6"/>
      <c r="BJ955" s="6"/>
      <c r="BK955" s="33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7"/>
    </row>
    <row r="956" spans="42:101" s="4" customFormat="1">
      <c r="AP956" s="13"/>
      <c r="AU956" s="13"/>
      <c r="BC956" s="13"/>
      <c r="BI956" s="6"/>
      <c r="BJ956" s="6"/>
      <c r="BK956" s="33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7"/>
    </row>
    <row r="957" spans="42:101" s="4" customFormat="1">
      <c r="AP957" s="13"/>
      <c r="AU957" s="13"/>
      <c r="BC957" s="13"/>
      <c r="BI957" s="6"/>
      <c r="BJ957" s="6"/>
      <c r="BK957" s="33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7"/>
    </row>
    <row r="958" spans="42:101" s="4" customFormat="1">
      <c r="AP958" s="13"/>
      <c r="AU958" s="13"/>
      <c r="BC958" s="13"/>
      <c r="BI958" s="6"/>
      <c r="BJ958" s="6"/>
      <c r="BK958" s="33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7"/>
    </row>
    <row r="959" spans="42:101" s="4" customFormat="1">
      <c r="AP959" s="13"/>
      <c r="AU959" s="13"/>
      <c r="BC959" s="13"/>
      <c r="BI959" s="6"/>
      <c r="BJ959" s="6"/>
      <c r="BK959" s="33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7"/>
    </row>
    <row r="960" spans="42:101" s="4" customFormat="1">
      <c r="AP960" s="13"/>
      <c r="AU960" s="13"/>
      <c r="BC960" s="13"/>
      <c r="BI960" s="6"/>
      <c r="BJ960" s="6"/>
      <c r="BK960" s="33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7"/>
    </row>
    <row r="961" spans="42:101" s="4" customFormat="1">
      <c r="AP961" s="13"/>
      <c r="AU961" s="13"/>
      <c r="BC961" s="13"/>
      <c r="BI961" s="6"/>
      <c r="BJ961" s="6"/>
      <c r="BK961" s="33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7"/>
    </row>
    <row r="962" spans="42:101" s="4" customFormat="1">
      <c r="AP962" s="13"/>
      <c r="AU962" s="13"/>
      <c r="BC962" s="13"/>
      <c r="BI962" s="6"/>
      <c r="BJ962" s="6"/>
      <c r="BK962" s="33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7"/>
    </row>
    <row r="963" spans="42:101" s="4" customFormat="1">
      <c r="AP963" s="13"/>
      <c r="AU963" s="13"/>
      <c r="BC963" s="13"/>
      <c r="BI963" s="6"/>
      <c r="BJ963" s="6"/>
      <c r="BK963" s="33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7"/>
    </row>
  </sheetData>
  <autoFilter ref="A1:DF20" xr:uid="{00000000-0001-0000-0000-000000000000}"/>
  <phoneticPr fontId="7" type="noConversion"/>
  <pageMargins left="0.45" right="0.39370078740157483" top="0.74803149606299213" bottom="0.74803149606299213" header="0.31496062992125984" footer="0.31496062992125984"/>
  <pageSetup paperSize="9" scale="83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="190" zoomScaleNormal="190" workbookViewId="0">
      <selection activeCell="A3" sqref="A3"/>
    </sheetView>
  </sheetViews>
  <sheetFormatPr defaultRowHeight="13.8"/>
  <cols>
    <col min="1" max="1" width="39.5546875" customWidth="1"/>
  </cols>
  <sheetData>
    <row r="1" spans="1:1">
      <c r="A1" s="36" t="s">
        <v>30</v>
      </c>
    </row>
    <row r="2" spans="1:1">
      <c r="A2" s="36" t="s">
        <v>31</v>
      </c>
    </row>
    <row r="3" spans="1:1">
      <c r="A3" s="36" t="s">
        <v>32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ACCUCUT</dc:creator>
  <cp:lastModifiedBy>Santhosh Subramaniam</cp:lastModifiedBy>
  <cp:lastPrinted>2021-09-24T09:39:11Z</cp:lastPrinted>
  <dcterms:created xsi:type="dcterms:W3CDTF">2018-02-06T13:08:52Z</dcterms:created>
  <dcterms:modified xsi:type="dcterms:W3CDTF">2026-10-31T02:18:40Z</dcterms:modified>
</cp:coreProperties>
</file>